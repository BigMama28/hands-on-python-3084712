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aumovio-my.sharepoint.com/personal/uih54101_automotive-wan_com/Documents/Documents/GitHub/hands-on-python-3084712/praxisberichte_andererPraktikanten/"/>
    </mc:Choice>
  </mc:AlternateContent>
  <xr:revisionPtr revIDLastSave="0" documentId="8_{970557CC-3776-4F21-A8F0-8FF9F1C6D533}" xr6:coauthVersionLast="47" xr6:coauthVersionMax="47" xr10:uidLastSave="{00000000-0000-0000-0000-000000000000}"/>
  <bookViews>
    <workbookView xWindow="28680" yWindow="-120" windowWidth="29040" windowHeight="18240" activeTab="2" xr2:uid="{C351EC0C-2062-4208-9D2C-66514DB9AD71}"/>
  </bookViews>
  <sheets>
    <sheet name="Anleitung" sheetId="4" r:id="rId1"/>
    <sheet name="Stammdaten" sheetId="3" r:id="rId2"/>
    <sheet name="Tätigkeitsnachweis" sheetId="1" r:id="rId3"/>
    <sheet name="Status" sheetId="2" r:id="rId4"/>
  </sheets>
  <definedNames>
    <definedName name="Ausbildungsbetrieb_Anrede">Stammdaten!$I$8</definedName>
    <definedName name="Ausbildungsbetrieb_Arbeitszeit">Stammdaten!$B$32</definedName>
    <definedName name="Ausbildungsbetrieb_Email">Stammdaten!$I$20</definedName>
    <definedName name="Ausbildungsbetrieb_Land">Stammdaten!$I$32</definedName>
    <definedName name="Ausbildungsbetrieb_Name">Stammdaten!$I$11</definedName>
    <definedName name="Ausbildungsbetrieb_Nummer">Stammdaten!$N$26</definedName>
    <definedName name="Ausbildungsbetrieb_Ort">Stammdaten!$L$29</definedName>
    <definedName name="Ausbildungsbetrieb_PLZ">Stammdaten!$I$29</definedName>
    <definedName name="Ausbildungsbetrieb_Position">Stammdaten!$I$17</definedName>
    <definedName name="Ausbildungsbetrieb_Strasse">Stammdaten!$I$26</definedName>
    <definedName name="Ausbildungsbetrieb_Telefon">Stammdaten!$I$23</definedName>
    <definedName name="Ausbildungsbetrieb_Unternehmen">Stammdaten!$I$5</definedName>
    <definedName name="Ausbildungsbetrieb_Vorname">Stammdaten!$I$14</definedName>
    <definedName name="Branche">Stammdaten!$I$37</definedName>
    <definedName name="_xlnm.Print_Area" localSheetId="2">Tätigkeitsnachweis!$A$1:$H$559</definedName>
    <definedName name="Enddatum">Stammdaten!$B$23</definedName>
    <definedName name="Startdatum">Stammdaten!$B$20</definedName>
    <definedName name="Student_Anrede">Stammdaten!$B$2</definedName>
    <definedName name="Student_Email">Stammdaten!$B$17</definedName>
    <definedName name="Student_Matrikelnummer">Stammdaten!$B$14</definedName>
    <definedName name="Student_Name">Stammdaten!$B$5</definedName>
    <definedName name="Student_Studiengruppe">Stammdaten!$B$11</definedName>
    <definedName name="Student_Vorname">Stammdaten!$B$8</definedName>
    <definedName name="Taetigkeitsbereich1">Stammdaten!$B$37</definedName>
    <definedName name="Taetigkeitsbereich2">Stammdaten!$B$40</definedName>
    <definedName name="Taetigkeitsbereich3">Stammdaten!$B$43</definedName>
    <definedName name="Taetigkeitsbereich4">Stammdaten!$B$46</definedName>
    <definedName name="Taetigkeitsbereich5">Stammdaten!$B$49</definedName>
    <definedName name="Vorlesung_begleitend">Stammdaten!$B$26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7" i="1" l="1"/>
  <c r="A527" i="1"/>
  <c r="H524" i="1"/>
  <c r="A524" i="1"/>
  <c r="H521" i="1"/>
  <c r="A521" i="1"/>
  <c r="H518" i="1"/>
  <c r="A518" i="1"/>
  <c r="H484" i="1"/>
  <c r="A484" i="1"/>
  <c r="H481" i="1"/>
  <c r="A481" i="1"/>
  <c r="H478" i="1"/>
  <c r="A478" i="1"/>
  <c r="H475" i="1"/>
  <c r="A475" i="1"/>
  <c r="H441" i="1"/>
  <c r="A441" i="1"/>
  <c r="H438" i="1"/>
  <c r="A438" i="1"/>
  <c r="H435" i="1"/>
  <c r="A435" i="1"/>
  <c r="H432" i="1"/>
  <c r="A432" i="1"/>
  <c r="H398" i="1"/>
  <c r="A398" i="1"/>
  <c r="H395" i="1"/>
  <c r="A395" i="1"/>
  <c r="H392" i="1"/>
  <c r="A392" i="1"/>
  <c r="H389" i="1"/>
  <c r="A389" i="1"/>
  <c r="H355" i="1"/>
  <c r="A355" i="1"/>
  <c r="H352" i="1"/>
  <c r="A352" i="1"/>
  <c r="H349" i="1"/>
  <c r="A349" i="1"/>
  <c r="H346" i="1"/>
  <c r="A346" i="1"/>
  <c r="H312" i="1"/>
  <c r="A312" i="1"/>
  <c r="H309" i="1"/>
  <c r="A309" i="1"/>
  <c r="H306" i="1"/>
  <c r="A306" i="1"/>
  <c r="H303" i="1"/>
  <c r="A303" i="1"/>
  <c r="H269" i="1"/>
  <c r="A269" i="1"/>
  <c r="H266" i="1"/>
  <c r="A266" i="1"/>
  <c r="H263" i="1"/>
  <c r="A263" i="1"/>
  <c r="H260" i="1"/>
  <c r="A260" i="1"/>
  <c r="H220" i="1" l="1"/>
  <c r="H177" i="1"/>
  <c r="H134" i="1"/>
  <c r="H91" i="1"/>
  <c r="H48" i="1"/>
  <c r="H5" i="1"/>
  <c r="H226" i="1" l="1"/>
  <c r="A226" i="1"/>
  <c r="H223" i="1"/>
  <c r="A223" i="1"/>
  <c r="A220" i="1"/>
  <c r="H217" i="1"/>
  <c r="A217" i="1"/>
  <c r="H183" i="1"/>
  <c r="A183" i="1"/>
  <c r="H180" i="1"/>
  <c r="A180" i="1"/>
  <c r="A177" i="1"/>
  <c r="H174" i="1"/>
  <c r="A174" i="1"/>
  <c r="H140" i="1"/>
  <c r="A140" i="1"/>
  <c r="H137" i="1"/>
  <c r="A137" i="1"/>
  <c r="A134" i="1"/>
  <c r="H131" i="1"/>
  <c r="A131" i="1"/>
  <c r="H97" i="1"/>
  <c r="A97" i="1"/>
  <c r="H94" i="1"/>
  <c r="A94" i="1"/>
  <c r="A91" i="1"/>
  <c r="H88" i="1"/>
  <c r="A88" i="1"/>
  <c r="H54" i="1"/>
  <c r="A54" i="1"/>
  <c r="H51" i="1"/>
  <c r="A51" i="1"/>
  <c r="A48" i="1"/>
  <c r="H45" i="1"/>
  <c r="A45" i="1"/>
  <c r="C16" i="1"/>
  <c r="H11" i="1"/>
  <c r="H8" i="1"/>
  <c r="H2" i="1"/>
  <c r="A11" i="1"/>
  <c r="A8" i="1"/>
  <c r="A5" i="1"/>
  <c r="A2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59" i="1" l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B16" i="1"/>
  <c r="C17" i="1"/>
  <c r="B17" i="1" s="1"/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C18" i="1"/>
  <c r="B18" i="1" s="1"/>
  <c r="A145" i="1" l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C19" i="1"/>
  <c r="C20" i="1" s="1"/>
  <c r="A188" i="1" l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B19" i="1"/>
  <c r="C21" i="1"/>
  <c r="B20" i="1"/>
  <c r="A231" i="1" l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C22" i="1"/>
  <c r="B21" i="1"/>
  <c r="A317" i="1" l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C23" i="1"/>
  <c r="B22" i="1"/>
  <c r="C24" i="1" l="1"/>
  <c r="B23" i="1"/>
  <c r="C25" i="1" l="1"/>
  <c r="B24" i="1"/>
  <c r="C26" i="1" l="1"/>
  <c r="B25" i="1"/>
  <c r="C27" i="1" l="1"/>
  <c r="B26" i="1"/>
  <c r="C28" i="1" l="1"/>
  <c r="B27" i="1"/>
  <c r="C29" i="1" l="1"/>
  <c r="B29" i="1" s="1"/>
  <c r="B28" i="1"/>
  <c r="C30" i="1" l="1"/>
  <c r="C31" i="1" l="1"/>
  <c r="B30" i="1"/>
  <c r="C32" i="1" l="1"/>
  <c r="B31" i="1"/>
  <c r="C33" i="1" l="1"/>
  <c r="B32" i="1"/>
  <c r="C34" i="1" l="1"/>
  <c r="B33" i="1"/>
  <c r="C35" i="1" l="1"/>
  <c r="B34" i="1"/>
  <c r="C36" i="1" l="1"/>
  <c r="B35" i="1"/>
  <c r="C37" i="1" l="1"/>
  <c r="B36" i="1"/>
  <c r="C38" i="1" l="1"/>
  <c r="B37" i="1"/>
  <c r="C39" i="1" l="1"/>
  <c r="B38" i="1"/>
  <c r="C40" i="1" l="1"/>
  <c r="B39" i="1"/>
  <c r="C41" i="1" l="1"/>
  <c r="B40" i="1"/>
  <c r="C42" i="1" l="1"/>
  <c r="B41" i="1"/>
  <c r="C43" i="1" l="1"/>
  <c r="B42" i="1"/>
  <c r="B43" i="1" l="1"/>
  <c r="C59" i="1"/>
  <c r="C60" i="1" l="1"/>
  <c r="B59" i="1"/>
  <c r="C61" i="1" l="1"/>
  <c r="B60" i="1"/>
  <c r="B61" i="1" l="1"/>
  <c r="C62" i="1"/>
  <c r="B62" i="1" l="1"/>
  <c r="C63" i="1"/>
  <c r="B63" i="1" l="1"/>
  <c r="C64" i="1"/>
  <c r="C65" i="1" l="1"/>
  <c r="B64" i="1"/>
  <c r="B65" i="1" l="1"/>
  <c r="C66" i="1"/>
  <c r="B66" i="1" l="1"/>
  <c r="C67" i="1"/>
  <c r="B67" i="1" l="1"/>
  <c r="C68" i="1"/>
  <c r="C69" i="1" l="1"/>
  <c r="B68" i="1"/>
  <c r="B69" i="1" l="1"/>
  <c r="C70" i="1"/>
  <c r="B70" i="1" l="1"/>
  <c r="C71" i="1"/>
  <c r="B71" i="1" l="1"/>
  <c r="C72" i="1"/>
  <c r="C73" i="1" l="1"/>
  <c r="B72" i="1"/>
  <c r="B73" i="1" l="1"/>
  <c r="C74" i="1"/>
  <c r="B74" i="1" l="1"/>
  <c r="C75" i="1"/>
  <c r="B75" i="1" l="1"/>
  <c r="C76" i="1"/>
  <c r="C77" i="1" l="1"/>
  <c r="B76" i="1"/>
  <c r="B77" i="1" l="1"/>
  <c r="C78" i="1"/>
  <c r="B78" i="1" l="1"/>
  <c r="C79" i="1"/>
  <c r="B79" i="1" l="1"/>
  <c r="C80" i="1"/>
  <c r="C81" i="1" l="1"/>
  <c r="B80" i="1"/>
  <c r="B81" i="1" l="1"/>
  <c r="C82" i="1"/>
  <c r="B82" i="1" l="1"/>
  <c r="C83" i="1"/>
  <c r="C84" i="1" l="1"/>
  <c r="B83" i="1"/>
  <c r="C85" i="1" l="1"/>
  <c r="B84" i="1"/>
  <c r="C86" i="1" l="1"/>
  <c r="B85" i="1"/>
  <c r="B86" i="1" l="1"/>
  <c r="C102" i="1"/>
  <c r="B102" i="1" l="1"/>
  <c r="C103" i="1"/>
  <c r="C104" i="1" l="1"/>
  <c r="B103" i="1"/>
  <c r="C105" i="1" l="1"/>
  <c r="B104" i="1"/>
  <c r="C106" i="1" l="1"/>
  <c r="B105" i="1"/>
  <c r="C107" i="1" l="1"/>
  <c r="B106" i="1"/>
  <c r="C108" i="1" l="1"/>
  <c r="B107" i="1"/>
  <c r="B108" i="1" l="1"/>
  <c r="C109" i="1"/>
  <c r="B109" i="1" l="1"/>
  <c r="C110" i="1"/>
  <c r="C111" i="1" l="1"/>
  <c r="B110" i="1"/>
  <c r="C112" i="1" l="1"/>
  <c r="B111" i="1"/>
  <c r="C113" i="1" l="1"/>
  <c r="B112" i="1"/>
  <c r="B113" i="1" l="1"/>
  <c r="C114" i="1"/>
  <c r="C115" i="1" l="1"/>
  <c r="B114" i="1"/>
  <c r="C116" i="1" l="1"/>
  <c r="B115" i="1"/>
  <c r="B116" i="1" l="1"/>
  <c r="C117" i="1"/>
  <c r="C118" i="1" l="1"/>
  <c r="B117" i="1"/>
  <c r="B118" i="1" l="1"/>
  <c r="C119" i="1"/>
  <c r="C120" i="1" l="1"/>
  <c r="B119" i="1"/>
  <c r="C121" i="1" l="1"/>
  <c r="B120" i="1"/>
  <c r="B121" i="1" l="1"/>
  <c r="C122" i="1"/>
  <c r="C123" i="1" l="1"/>
  <c r="B122" i="1"/>
  <c r="B123" i="1" l="1"/>
  <c r="C124" i="1"/>
  <c r="B124" i="1" l="1"/>
  <c r="C125" i="1"/>
  <c r="B125" i="1" l="1"/>
  <c r="C126" i="1"/>
  <c r="B126" i="1" l="1"/>
  <c r="C127" i="1"/>
  <c r="C128" i="1" l="1"/>
  <c r="B127" i="1"/>
  <c r="B128" i="1" l="1"/>
  <c r="C129" i="1"/>
  <c r="B129" i="1" l="1"/>
  <c r="C145" i="1"/>
  <c r="C146" i="1" l="1"/>
  <c r="B145" i="1"/>
  <c r="C147" i="1" l="1"/>
  <c r="B146" i="1"/>
  <c r="B147" i="1" l="1"/>
  <c r="C148" i="1"/>
  <c r="B148" i="1" l="1"/>
  <c r="C149" i="1"/>
  <c r="C150" i="1" l="1"/>
  <c r="B149" i="1"/>
  <c r="B150" i="1" l="1"/>
  <c r="C151" i="1"/>
  <c r="B151" i="1" l="1"/>
  <c r="C152" i="1"/>
  <c r="C153" i="1" l="1"/>
  <c r="B152" i="1"/>
  <c r="B153" i="1" l="1"/>
  <c r="C154" i="1"/>
  <c r="C155" i="1" l="1"/>
  <c r="B154" i="1"/>
  <c r="B155" i="1" l="1"/>
  <c r="C156" i="1"/>
  <c r="B156" i="1" l="1"/>
  <c r="C157" i="1"/>
  <c r="C158" i="1" l="1"/>
  <c r="B157" i="1"/>
  <c r="C159" i="1" l="1"/>
  <c r="B158" i="1"/>
  <c r="B159" i="1" l="1"/>
  <c r="C160" i="1"/>
  <c r="B160" i="1" l="1"/>
  <c r="C161" i="1"/>
  <c r="B161" i="1" l="1"/>
  <c r="C162" i="1"/>
  <c r="C163" i="1" l="1"/>
  <c r="B162" i="1"/>
  <c r="C164" i="1" l="1"/>
  <c r="B163" i="1"/>
  <c r="B164" i="1" l="1"/>
  <c r="C165" i="1"/>
  <c r="C166" i="1" l="1"/>
  <c r="B165" i="1"/>
  <c r="C167" i="1" l="1"/>
  <c r="B166" i="1"/>
  <c r="C168" i="1" l="1"/>
  <c r="B167" i="1"/>
  <c r="C169" i="1" l="1"/>
  <c r="B168" i="1"/>
  <c r="C170" i="1" l="1"/>
  <c r="B169" i="1"/>
  <c r="C171" i="1" l="1"/>
  <c r="B170" i="1"/>
  <c r="C172" i="1" l="1"/>
  <c r="B171" i="1"/>
  <c r="B172" i="1" l="1"/>
  <c r="C188" i="1"/>
  <c r="C189" i="1" l="1"/>
  <c r="B188" i="1"/>
  <c r="C190" i="1" l="1"/>
  <c r="B189" i="1"/>
  <c r="B190" i="1" l="1"/>
  <c r="C191" i="1"/>
  <c r="B191" i="1" l="1"/>
  <c r="C192" i="1"/>
  <c r="C193" i="1" l="1"/>
  <c r="B192" i="1"/>
  <c r="C194" i="1" l="1"/>
  <c r="B193" i="1"/>
  <c r="B194" i="1" l="1"/>
  <c r="C195" i="1"/>
  <c r="C196" i="1" l="1"/>
  <c r="B195" i="1"/>
  <c r="B196" i="1" l="1"/>
  <c r="C197" i="1"/>
  <c r="B197" i="1" l="1"/>
  <c r="C198" i="1"/>
  <c r="B198" i="1" l="1"/>
  <c r="C199" i="1"/>
  <c r="C200" i="1" l="1"/>
  <c r="B199" i="1"/>
  <c r="B200" i="1" l="1"/>
  <c r="C201" i="1"/>
  <c r="B201" i="1" l="1"/>
  <c r="C202" i="1"/>
  <c r="C203" i="1" l="1"/>
  <c r="B202" i="1"/>
  <c r="C204" i="1" l="1"/>
  <c r="B203" i="1"/>
  <c r="C205" i="1" l="1"/>
  <c r="B204" i="1"/>
  <c r="B205" i="1" l="1"/>
  <c r="C206" i="1"/>
  <c r="B206" i="1" l="1"/>
  <c r="C207" i="1"/>
  <c r="B207" i="1" l="1"/>
  <c r="C208" i="1"/>
  <c r="B208" i="1" l="1"/>
  <c r="C209" i="1"/>
  <c r="C210" i="1" l="1"/>
  <c r="B209" i="1"/>
  <c r="C211" i="1" l="1"/>
  <c r="B210" i="1"/>
  <c r="C212" i="1" l="1"/>
  <c r="B211" i="1"/>
  <c r="B212" i="1" l="1"/>
  <c r="C213" i="1"/>
  <c r="B213" i="1" l="1"/>
  <c r="C214" i="1"/>
  <c r="B214" i="1" l="1"/>
  <c r="C215" i="1"/>
  <c r="B215" i="1" l="1"/>
  <c r="C231" i="1"/>
  <c r="C232" i="1" l="1"/>
  <c r="B231" i="1"/>
  <c r="C233" i="1" l="1"/>
  <c r="B232" i="1"/>
  <c r="C234" i="1" l="1"/>
  <c r="B233" i="1"/>
  <c r="B234" i="1" l="1"/>
  <c r="C235" i="1"/>
  <c r="C236" i="1" l="1"/>
  <c r="B235" i="1"/>
  <c r="C237" i="1" l="1"/>
  <c r="B236" i="1"/>
  <c r="B237" i="1" l="1"/>
  <c r="C238" i="1"/>
  <c r="C239" i="1" l="1"/>
  <c r="B238" i="1"/>
  <c r="B239" i="1" l="1"/>
  <c r="C240" i="1"/>
  <c r="C241" i="1" l="1"/>
  <c r="B240" i="1"/>
  <c r="C242" i="1" l="1"/>
  <c r="B241" i="1"/>
  <c r="B242" i="1" l="1"/>
  <c r="C243" i="1"/>
  <c r="C244" i="1" l="1"/>
  <c r="B243" i="1"/>
  <c r="B244" i="1" l="1"/>
  <c r="C245" i="1"/>
  <c r="B245" i="1" l="1"/>
  <c r="C246" i="1"/>
  <c r="C247" i="1" l="1"/>
  <c r="B246" i="1"/>
  <c r="B247" i="1" l="1"/>
  <c r="C248" i="1"/>
  <c r="C249" i="1" l="1"/>
  <c r="B248" i="1"/>
  <c r="C250" i="1" l="1"/>
  <c r="B249" i="1"/>
  <c r="B250" i="1" l="1"/>
  <c r="C251" i="1"/>
  <c r="C252" i="1" l="1"/>
  <c r="B251" i="1"/>
  <c r="B252" i="1" l="1"/>
  <c r="C253" i="1"/>
  <c r="B253" i="1" l="1"/>
  <c r="C254" i="1"/>
  <c r="C255" i="1" l="1"/>
  <c r="B254" i="1"/>
  <c r="B255" i="1" l="1"/>
  <c r="C256" i="1"/>
  <c r="C257" i="1" l="1"/>
  <c r="B256" i="1"/>
  <c r="C258" i="1" l="1"/>
  <c r="B257" i="1"/>
  <c r="B258" i="1" l="1"/>
  <c r="C274" i="1"/>
  <c r="B274" i="1" l="1"/>
  <c r="C275" i="1"/>
  <c r="C276" i="1" l="1"/>
  <c r="B275" i="1"/>
  <c r="B276" i="1" l="1"/>
  <c r="C277" i="1"/>
  <c r="C278" i="1" l="1"/>
  <c r="B277" i="1"/>
  <c r="B278" i="1" l="1"/>
  <c r="C279" i="1"/>
  <c r="C280" i="1" l="1"/>
  <c r="B279" i="1"/>
  <c r="B280" i="1" l="1"/>
  <c r="C281" i="1"/>
  <c r="C282" i="1" l="1"/>
  <c r="B281" i="1"/>
  <c r="B282" i="1" l="1"/>
  <c r="C283" i="1"/>
  <c r="C284" i="1" l="1"/>
  <c r="B283" i="1"/>
  <c r="C285" i="1" l="1"/>
  <c r="B284" i="1"/>
  <c r="B285" i="1" l="1"/>
  <c r="C286" i="1"/>
  <c r="B286" i="1" l="1"/>
  <c r="C287" i="1"/>
  <c r="C288" i="1" l="1"/>
  <c r="B287" i="1"/>
  <c r="B288" i="1" l="1"/>
  <c r="C289" i="1"/>
  <c r="B289" i="1" l="1"/>
  <c r="C290" i="1"/>
  <c r="C291" i="1" l="1"/>
  <c r="B290" i="1"/>
  <c r="C292" i="1" l="1"/>
  <c r="B291" i="1"/>
  <c r="C293" i="1" l="1"/>
  <c r="B292" i="1"/>
  <c r="C294" i="1" l="1"/>
  <c r="B293" i="1"/>
  <c r="C295" i="1" l="1"/>
  <c r="B294" i="1"/>
  <c r="B295" i="1" l="1"/>
  <c r="C296" i="1"/>
  <c r="B296" i="1" l="1"/>
  <c r="C297" i="1"/>
  <c r="C298" i="1" l="1"/>
  <c r="B297" i="1"/>
  <c r="B298" i="1" l="1"/>
  <c r="C299" i="1"/>
  <c r="C300" i="1" l="1"/>
  <c r="B299" i="1"/>
  <c r="B300" i="1" l="1"/>
  <c r="C301" i="1"/>
  <c r="B301" i="1" l="1"/>
  <c r="C317" i="1"/>
  <c r="B317" i="1" l="1"/>
  <c r="C318" i="1"/>
  <c r="C319" i="1" l="1"/>
  <c r="B318" i="1"/>
  <c r="C320" i="1" l="1"/>
  <c r="B319" i="1"/>
  <c r="C321" i="1" l="1"/>
  <c r="B320" i="1"/>
  <c r="B321" i="1" l="1"/>
  <c r="C322" i="1"/>
  <c r="C323" i="1" l="1"/>
  <c r="B322" i="1"/>
  <c r="C324" i="1" l="1"/>
  <c r="B323" i="1"/>
  <c r="C325" i="1" l="1"/>
  <c r="B324" i="1"/>
  <c r="B325" i="1" l="1"/>
  <c r="C326" i="1"/>
  <c r="C327" i="1" l="1"/>
  <c r="B326" i="1"/>
  <c r="C328" i="1" l="1"/>
  <c r="B327" i="1"/>
  <c r="B328" i="1" l="1"/>
  <c r="C329" i="1"/>
  <c r="C330" i="1" l="1"/>
  <c r="B329" i="1"/>
  <c r="C331" i="1" l="1"/>
  <c r="B330" i="1"/>
  <c r="B331" i="1" l="1"/>
  <c r="C332" i="1"/>
  <c r="C333" i="1" l="1"/>
  <c r="B332" i="1"/>
  <c r="B333" i="1" l="1"/>
  <c r="C334" i="1"/>
  <c r="C335" i="1" l="1"/>
  <c r="B334" i="1"/>
  <c r="C336" i="1" l="1"/>
  <c r="B335" i="1"/>
  <c r="B336" i="1" l="1"/>
  <c r="C337" i="1"/>
  <c r="C338" i="1" l="1"/>
  <c r="B337" i="1"/>
  <c r="B338" i="1" l="1"/>
  <c r="C339" i="1"/>
  <c r="C340" i="1" l="1"/>
  <c r="B339" i="1"/>
  <c r="C341" i="1" l="1"/>
  <c r="B340" i="1"/>
  <c r="B341" i="1" l="1"/>
  <c r="C342" i="1"/>
  <c r="C343" i="1" l="1"/>
  <c r="B342" i="1"/>
  <c r="C344" i="1" l="1"/>
  <c r="B343" i="1"/>
  <c r="B344" i="1" l="1"/>
  <c r="C360" i="1"/>
  <c r="B360" i="1" l="1"/>
  <c r="C361" i="1"/>
  <c r="C362" i="1" l="1"/>
  <c r="B361" i="1"/>
  <c r="C363" i="1" l="1"/>
  <c r="B362" i="1"/>
  <c r="B363" i="1" l="1"/>
  <c r="C364" i="1"/>
  <c r="C365" i="1" l="1"/>
  <c r="B364" i="1"/>
  <c r="B365" i="1" l="1"/>
  <c r="C366" i="1"/>
  <c r="B366" i="1" l="1"/>
  <c r="C367" i="1"/>
  <c r="C368" i="1" l="1"/>
  <c r="B367" i="1"/>
  <c r="B368" i="1" l="1"/>
  <c r="C369" i="1"/>
  <c r="C370" i="1" l="1"/>
  <c r="B369" i="1"/>
  <c r="C371" i="1" l="1"/>
  <c r="B370" i="1"/>
  <c r="B371" i="1" l="1"/>
  <c r="C372" i="1"/>
  <c r="C373" i="1" l="1"/>
  <c r="B372" i="1"/>
  <c r="B373" i="1" l="1"/>
  <c r="C374" i="1"/>
  <c r="B374" i="1" l="1"/>
  <c r="C375" i="1"/>
  <c r="C376" i="1" l="1"/>
  <c r="B375" i="1"/>
  <c r="B376" i="1" l="1"/>
  <c r="C377" i="1"/>
  <c r="C378" i="1" l="1"/>
  <c r="B377" i="1"/>
  <c r="C379" i="1" l="1"/>
  <c r="B378" i="1"/>
  <c r="B379" i="1" l="1"/>
  <c r="C380" i="1"/>
  <c r="C381" i="1" l="1"/>
  <c r="B380" i="1"/>
  <c r="B381" i="1" l="1"/>
  <c r="C382" i="1"/>
  <c r="B382" i="1" l="1"/>
  <c r="C383" i="1"/>
  <c r="C384" i="1" l="1"/>
  <c r="B383" i="1"/>
  <c r="B384" i="1" l="1"/>
  <c r="C385" i="1"/>
  <c r="C386" i="1" l="1"/>
  <c r="B385" i="1"/>
  <c r="C387" i="1" l="1"/>
  <c r="B386" i="1"/>
  <c r="B387" i="1" l="1"/>
  <c r="C403" i="1"/>
  <c r="B403" i="1" l="1"/>
  <c r="C404" i="1"/>
  <c r="C405" i="1" l="1"/>
  <c r="B404" i="1"/>
  <c r="C406" i="1" l="1"/>
  <c r="B405" i="1"/>
  <c r="C407" i="1" l="1"/>
  <c r="B406" i="1"/>
  <c r="B407" i="1" l="1"/>
  <c r="C408" i="1"/>
  <c r="C409" i="1" l="1"/>
  <c r="B408" i="1"/>
  <c r="C410" i="1" l="1"/>
  <c r="B409" i="1"/>
  <c r="C411" i="1" l="1"/>
  <c r="B410" i="1"/>
  <c r="C412" i="1" l="1"/>
  <c r="B411" i="1"/>
  <c r="B412" i="1" l="1"/>
  <c r="C413" i="1"/>
  <c r="B413" i="1" l="1"/>
  <c r="C414" i="1"/>
  <c r="B414" i="1" l="1"/>
  <c r="C415" i="1"/>
  <c r="B415" i="1" l="1"/>
  <c r="C416" i="1"/>
  <c r="C417" i="1" l="1"/>
  <c r="B416" i="1"/>
  <c r="B417" i="1" l="1"/>
  <c r="C418" i="1"/>
  <c r="C419" i="1" l="1"/>
  <c r="B418" i="1"/>
  <c r="C420" i="1" l="1"/>
  <c r="B419" i="1"/>
  <c r="C421" i="1" l="1"/>
  <c r="B420" i="1"/>
  <c r="C422" i="1" l="1"/>
  <c r="B421" i="1"/>
  <c r="B422" i="1" l="1"/>
  <c r="C423" i="1"/>
  <c r="B423" i="1" l="1"/>
  <c r="C424" i="1"/>
  <c r="C425" i="1" l="1"/>
  <c r="B424" i="1"/>
  <c r="C426" i="1" l="1"/>
  <c r="B425" i="1"/>
  <c r="B426" i="1" l="1"/>
  <c r="C427" i="1"/>
  <c r="C428" i="1" l="1"/>
  <c r="B427" i="1"/>
  <c r="B428" i="1" l="1"/>
  <c r="C429" i="1"/>
  <c r="C430" i="1" l="1"/>
  <c r="B429" i="1"/>
  <c r="B430" i="1" l="1"/>
  <c r="C446" i="1"/>
  <c r="B446" i="1" l="1"/>
  <c r="C447" i="1"/>
  <c r="C448" i="1" l="1"/>
  <c r="B447" i="1"/>
  <c r="B448" i="1" l="1"/>
  <c r="C449" i="1"/>
  <c r="C450" i="1" l="1"/>
  <c r="B449" i="1"/>
  <c r="B450" i="1" l="1"/>
  <c r="C451" i="1"/>
  <c r="B451" i="1" l="1"/>
  <c r="C452" i="1"/>
  <c r="B452" i="1" l="1"/>
  <c r="C453" i="1"/>
  <c r="B453" i="1" l="1"/>
  <c r="C454" i="1"/>
  <c r="C455" i="1" l="1"/>
  <c r="B454" i="1"/>
  <c r="B455" i="1" l="1"/>
  <c r="C456" i="1"/>
  <c r="B456" i="1" l="1"/>
  <c r="C457" i="1"/>
  <c r="C458" i="1" l="1"/>
  <c r="B457" i="1"/>
  <c r="B458" i="1" l="1"/>
  <c r="C459" i="1"/>
  <c r="C460" i="1" l="1"/>
  <c r="B459" i="1"/>
  <c r="C461" i="1" l="1"/>
  <c r="B460" i="1"/>
  <c r="C462" i="1" l="1"/>
  <c r="B461" i="1"/>
  <c r="B462" i="1" l="1"/>
  <c r="C463" i="1"/>
  <c r="C464" i="1" l="1"/>
  <c r="B463" i="1"/>
  <c r="B464" i="1" l="1"/>
  <c r="C465" i="1"/>
  <c r="B465" i="1" l="1"/>
  <c r="C466" i="1"/>
  <c r="B466" i="1" l="1"/>
  <c r="C467" i="1"/>
  <c r="B467" i="1" l="1"/>
  <c r="C468" i="1"/>
  <c r="C469" i="1" l="1"/>
  <c r="B468" i="1"/>
  <c r="B469" i="1" l="1"/>
  <c r="C470" i="1"/>
  <c r="C471" i="1" l="1"/>
  <c r="B470" i="1"/>
  <c r="C472" i="1" l="1"/>
  <c r="B471" i="1"/>
  <c r="C473" i="1" l="1"/>
  <c r="B472" i="1"/>
  <c r="B473" i="1" l="1"/>
  <c r="C489" i="1"/>
  <c r="B489" i="1" l="1"/>
  <c r="C490" i="1"/>
  <c r="C491" i="1" l="1"/>
  <c r="B490" i="1"/>
  <c r="C492" i="1" l="1"/>
  <c r="B491" i="1"/>
  <c r="B492" i="1" l="1"/>
  <c r="C493" i="1"/>
  <c r="B493" i="1" l="1"/>
  <c r="C494" i="1"/>
  <c r="B494" i="1" l="1"/>
  <c r="C495" i="1"/>
  <c r="C496" i="1" l="1"/>
  <c r="B495" i="1"/>
  <c r="C497" i="1" l="1"/>
  <c r="B496" i="1"/>
  <c r="B497" i="1" l="1"/>
  <c r="C498" i="1"/>
  <c r="C499" i="1" l="1"/>
  <c r="B498" i="1"/>
  <c r="C500" i="1" l="1"/>
  <c r="B499" i="1"/>
  <c r="B500" i="1" l="1"/>
  <c r="C501" i="1"/>
  <c r="C502" i="1" l="1"/>
  <c r="B501" i="1"/>
  <c r="B502" i="1" l="1"/>
  <c r="C503" i="1"/>
  <c r="B503" i="1" l="1"/>
  <c r="C504" i="1"/>
  <c r="C505" i="1" l="1"/>
  <c r="B504" i="1"/>
  <c r="B505" i="1" l="1"/>
  <c r="C506" i="1"/>
  <c r="C507" i="1" l="1"/>
  <c r="B506" i="1"/>
  <c r="C508" i="1" l="1"/>
  <c r="B507" i="1"/>
  <c r="C509" i="1" l="1"/>
  <c r="B508" i="1"/>
  <c r="B509" i="1" l="1"/>
  <c r="C510" i="1"/>
  <c r="B510" i="1" l="1"/>
  <c r="C511" i="1"/>
  <c r="B511" i="1" l="1"/>
  <c r="C512" i="1"/>
  <c r="B512" i="1" l="1"/>
  <c r="C513" i="1"/>
  <c r="B513" i="1" l="1"/>
  <c r="C514" i="1"/>
  <c r="C515" i="1" l="1"/>
  <c r="B514" i="1"/>
  <c r="C516" i="1" l="1"/>
  <c r="B515" i="1"/>
  <c r="B516" i="1" l="1"/>
  <c r="C532" i="1"/>
  <c r="B532" i="1" l="1"/>
  <c r="C533" i="1"/>
  <c r="C534" i="1" l="1"/>
  <c r="B533" i="1"/>
  <c r="C535" i="1" l="1"/>
  <c r="B534" i="1"/>
  <c r="B535" i="1" l="1"/>
  <c r="C536" i="1"/>
  <c r="C537" i="1" l="1"/>
  <c r="B536" i="1"/>
  <c r="B537" i="1" l="1"/>
  <c r="C538" i="1"/>
  <c r="B538" i="1" l="1"/>
  <c r="C539" i="1"/>
  <c r="C540" i="1" l="1"/>
  <c r="B539" i="1"/>
  <c r="B540" i="1" l="1"/>
  <c r="C541" i="1"/>
  <c r="C542" i="1" l="1"/>
  <c r="B541" i="1"/>
  <c r="C543" i="1" l="1"/>
  <c r="B542" i="1"/>
  <c r="B543" i="1" l="1"/>
  <c r="C544" i="1"/>
  <c r="C545" i="1" l="1"/>
  <c r="B544" i="1"/>
  <c r="C546" i="1" l="1"/>
  <c r="B545" i="1"/>
  <c r="B546" i="1" l="1"/>
  <c r="C547" i="1"/>
  <c r="C548" i="1" l="1"/>
  <c r="B547" i="1"/>
  <c r="B548" i="1" l="1"/>
  <c r="C549" i="1"/>
  <c r="B549" i="1" l="1"/>
  <c r="C550" i="1"/>
  <c r="C551" i="1" l="1"/>
  <c r="B550" i="1"/>
  <c r="B551" i="1" l="1"/>
  <c r="C552" i="1"/>
  <c r="C553" i="1" l="1"/>
  <c r="B552" i="1"/>
  <c r="C554" i="1" l="1"/>
  <c r="B553" i="1"/>
  <c r="B554" i="1" l="1"/>
  <c r="C555" i="1"/>
  <c r="C556" i="1" l="1"/>
  <c r="B555" i="1"/>
  <c r="B556" i="1" l="1"/>
  <c r="C557" i="1"/>
  <c r="B557" i="1" l="1"/>
  <c r="C558" i="1"/>
  <c r="C559" i="1" l="1"/>
  <c r="B559" i="1" s="1"/>
  <c r="B558" i="1"/>
</calcChain>
</file>

<file path=xl/sharedStrings.xml><?xml version="1.0" encoding="utf-8"?>
<sst xmlns="http://schemas.openxmlformats.org/spreadsheetml/2006/main" count="1227" uniqueCount="221">
  <si>
    <t>Kurzanleitung</t>
  </si>
  <si>
    <t>1. Schritt</t>
  </si>
  <si>
    <t>Geben Sie im Reiter "Stammdaten" alle geforderten Informationen ein</t>
  </si>
  <si>
    <t>2. Schritt</t>
  </si>
  <si>
    <t>Füllen Sie den Tätigkeitsnachweis vollständig aus. Für jeden Tag (Außer Samstag und Sonntag) muss folgendes angegebene werden:</t>
  </si>
  <si>
    <t>Tagestyp (Anwesen, Urlaub,…)</t>
  </si>
  <si>
    <t>Anwsenheitszeit im Betrieb</t>
  </si>
  <si>
    <t>Vorlesung besucht (ja/nein)</t>
  </si>
  <si>
    <t>kurze Beschriebung der Tätigkeit(en) an diesem Tag</t>
  </si>
  <si>
    <t>3. Schritt</t>
  </si>
  <si>
    <t>Wählen Sie Tätigkeiten aus dem Berichtszeitraum aus und beschrieben Sie 5 Tätigkeiten genauer. Die Berichte werden in der Worddatei erstellt. Im Excel wird unter Stammdaten der Titel der Tätigkeitbeschreibung aufgeführt. (inkl. Dateiname).</t>
  </si>
  <si>
    <t>4. Schritt</t>
  </si>
  <si>
    <t>Drucken Sie den Tätigkeitsnachweis aus. Achten Sie hierbei auf die korrekten Umbrüche der Seiten (Ansicht &gt;&gt; Umbruchvorschau)</t>
  </si>
  <si>
    <t xml:space="preserve">5. Schritt </t>
  </si>
  <si>
    <t>Lassen Sie den ausgedruckten Tätigkeitsnachweis von Ihrem Betreuer unterschrieben (inkl. Stempel). Scannen Sie den unterschriebenen Tätigkeitsnachweis ein.  Hinweis - heben Sie den unterschriebenen Tätigkeitsnachweis auf. Dieser muss ggf. im Orginal vorgelegt werden.</t>
  </si>
  <si>
    <t>6. Schritt</t>
  </si>
  <si>
    <t>Laden Sie alle notwendigen Dokumente über die GRIPS-Plattform hoch. Die Einreichung ist nur vollständig möglich. Folgende Dateien sind hochzuladen:</t>
  </si>
  <si>
    <t>Praktikumszeugnis (PDF)</t>
  </si>
  <si>
    <t>&gt;&gt;</t>
  </si>
  <si>
    <t>NAME_MATRIKELNUMMER_Zeugnis.pdf</t>
  </si>
  <si>
    <t>Tätigkeitsnachweis (Excel-Datei)</t>
  </si>
  <si>
    <t>NAME_MATRIKELNUMMER_Tätigkeitsnachweis.xlsx</t>
  </si>
  <si>
    <t>Tätigkeitsnachweis vom Betreuer unterschrieben (PDF)</t>
  </si>
  <si>
    <t>NAME_MATRIKELNUMMER_Tätigkeitsnachweis.pdf</t>
  </si>
  <si>
    <t>Tätigkeitsbeschreibung (Word-Datei)</t>
  </si>
  <si>
    <t>NAME_MATRIKELNUMMER_Bericht.docx</t>
  </si>
  <si>
    <t xml:space="preserve">Bitte beachten Sie die korrekte Bezeichnung </t>
  </si>
  <si>
    <t>Herr</t>
  </si>
  <si>
    <t>Anrede</t>
  </si>
  <si>
    <t>Dirnberger</t>
  </si>
  <si>
    <t>Continental Automotiv Technologies GmbH</t>
  </si>
  <si>
    <t>Name</t>
  </si>
  <si>
    <t>Ausbildungsbetrieb</t>
  </si>
  <si>
    <t>Hubert</t>
  </si>
  <si>
    <t>Vorname</t>
  </si>
  <si>
    <t>Anrede Ansprechpartner im Betrieb</t>
  </si>
  <si>
    <t>MB8</t>
  </si>
  <si>
    <t>Ruppel</t>
  </si>
  <si>
    <t>Studiengruppe</t>
  </si>
  <si>
    <t>Name Ansprechpartner*in im Betrieb</t>
  </si>
  <si>
    <t>Christian</t>
  </si>
  <si>
    <t>Matrikelnummer</t>
  </si>
  <si>
    <t>Vorname Ansprechpartner*in im Betrieb</t>
  </si>
  <si>
    <t>dih32212@hs-regensburg.de</t>
  </si>
  <si>
    <t>New Product Launch Manager</t>
  </si>
  <si>
    <t xml:space="preserve">Email </t>
  </si>
  <si>
    <t>Position bzw. Funktion im Unternehmen</t>
  </si>
  <si>
    <t>christian.ruppel@continental-corporaion.com</t>
  </si>
  <si>
    <t>Startdatum (erster Arbeitstag)</t>
  </si>
  <si>
    <t>Email Ansprechpartner*in</t>
  </si>
  <si>
    <t>0499417903612</t>
  </si>
  <si>
    <t>Enddatum (letzter Arbeitstag)</t>
  </si>
  <si>
    <t>Telefon Ansprechpartner*in</t>
  </si>
  <si>
    <t>nein</t>
  </si>
  <si>
    <t>Siemensstraße</t>
  </si>
  <si>
    <t xml:space="preserve">Vorlesung begleitend </t>
  </si>
  <si>
    <t>Strasse Betrieb</t>
  </si>
  <si>
    <t>Nummer</t>
  </si>
  <si>
    <t>zum Praktikum besucht</t>
  </si>
  <si>
    <t>Regensburg</t>
  </si>
  <si>
    <t>PLZ</t>
  </si>
  <si>
    <t>Ort</t>
  </si>
  <si>
    <t>Stunden pro Woche</t>
  </si>
  <si>
    <t>Deutschland</t>
  </si>
  <si>
    <t xml:space="preserve">Arbeitszeit in </t>
  </si>
  <si>
    <t>Land</t>
  </si>
  <si>
    <t>der Abteilung</t>
  </si>
  <si>
    <t>Fertigung und Produktion</t>
  </si>
  <si>
    <t>Industrielle Zulieferer</t>
  </si>
  <si>
    <t>Tätigkeitsbereich 1 (Bezeichung der Tätigkeit)</t>
  </si>
  <si>
    <t>Branche</t>
  </si>
  <si>
    <t>Tätigkeitsbereich 2 (Bezeichung der Tätigkeit)</t>
  </si>
  <si>
    <t>Qualitätsmanagement / -sicherung</t>
  </si>
  <si>
    <t>Tätigkeitsbereich 3 (Bezeichung der Tätigkeit)</t>
  </si>
  <si>
    <t>Tätigkeitsbereich 4 (Bezeichung der Tätigkeit)</t>
  </si>
  <si>
    <t>Tätigkeitsbereich 5 (Bezeichung der Tätigkeit, Freitext)</t>
  </si>
  <si>
    <t>Stand:</t>
  </si>
  <si>
    <t>Rev007</t>
  </si>
  <si>
    <t>Ansprechpartner im Betrieb</t>
  </si>
  <si>
    <t>Email Ansprechpartner</t>
  </si>
  <si>
    <t>Telefon Ansprechpartner</t>
  </si>
  <si>
    <t>Typ</t>
  </si>
  <si>
    <t>Vorlesung besucht?</t>
  </si>
  <si>
    <t>Tag</t>
  </si>
  <si>
    <t>Datum</t>
  </si>
  <si>
    <t>Anwesen-heitszeit im Betrieb</t>
  </si>
  <si>
    <t>genaue Angaben zu den Tätigkeiten</t>
  </si>
  <si>
    <t>A</t>
  </si>
  <si>
    <t>h</t>
  </si>
  <si>
    <t>Einführung, Rundgang im Firmengelände</t>
  </si>
  <si>
    <t/>
  </si>
  <si>
    <t>Inventur, Organisation, Secuirty und Sicherheitsunterweisung</t>
  </si>
  <si>
    <t>Inventur, Vervöllständigung einer Arbeitsunterweisung, Treffen mit Vitesco zwecks Anlagenverkauf</t>
  </si>
  <si>
    <t xml:space="preserve">Inventur,  Sammeln der Daten aller Fertigungsanlagen  </t>
  </si>
  <si>
    <t xml:space="preserve">Sortierung der verschrottenden Anlagen in der Fertigung, Sammeln der Daten aller Fertigungsanlagen </t>
  </si>
  <si>
    <t>Inventur, Erstellung einer Liste aller Rechner</t>
  </si>
  <si>
    <t>Inventur, Bearbeitung der Masterliste</t>
  </si>
  <si>
    <t xml:space="preserve">Bearbeitung der IPC-Liste, Erstellen und aufnahme aller IPC Liste </t>
  </si>
  <si>
    <t>Aufbau der ePC2 Linie, Termin mit Schäffler</t>
  </si>
  <si>
    <t>Einlernen des neuen Praktikanten, Organisation, Einführung</t>
  </si>
  <si>
    <t>Weiterführen der IPC-Liste, Sotierung der OES-Verschrottenden Anlagen</t>
  </si>
  <si>
    <t>IPC-Liste vervollständigt, OES Verschrottende Anlage fertig Sotiert + Vergleichen mit Masterliste</t>
  </si>
  <si>
    <t>Meeting mit Vitesco über die transferierten Anlagen</t>
  </si>
  <si>
    <t xml:space="preserve">Hier sollte der Seitenumbruch Seite 1 auf Seite 2 sein - Bitte nutzen Sie die Seitenumbruchsansicht (Reiter "Ansicht &gt; Umbruchsvorschau) </t>
  </si>
  <si>
    <t>Sie könne mit der Maus den Umbruch verschieben.</t>
  </si>
  <si>
    <t xml:space="preserve">Hier sollte der Seitenumbruch Seite 2 auf Seite 3 sein - Bitte nutzen Sie die Seitenumbruchsansicht (Reiter "Ansicht &gt; Umbruchsvorschau) </t>
  </si>
  <si>
    <t xml:space="preserve">Hier sollte der Seitenumbruch Seite 3 auf Seite 4 sein - Bitte nutzen Sie die Seitenumbruchsansicht (Reiter "Ansicht &gt; Umbruchsvorschau) </t>
  </si>
  <si>
    <t xml:space="preserve">Hier sollte der Seitenumbruch Seite 4 auf Seite 5 sein - Bitte nutzen Sie die Seitenumbruchsansicht (Reiter "Ansicht &gt; Umbruchsvorschau) </t>
  </si>
  <si>
    <t xml:space="preserve">Hier sollte der Seitenumbruch Seite 5 auf Seite 6 sein - Bitte nutzen Sie die Seitenumbruchsansicht (Reiter "Ansicht &gt; Umbruchsvorschau) </t>
  </si>
  <si>
    <t xml:space="preserve">Hier sollte der letzte Seitenumbruch (Seite 6 Ende) zu sehen sein.  (Reiter "Ansicht &gt; Umbruchsvorschau) </t>
  </si>
  <si>
    <t>Anwesend</t>
  </si>
  <si>
    <t>Anlagen- und Maschinenbau</t>
  </si>
  <si>
    <t>Konstruktion</t>
  </si>
  <si>
    <t>K</t>
  </si>
  <si>
    <t>Krank (Abwesend)</t>
  </si>
  <si>
    <t>Automobil- und Fahrzeugbau</t>
  </si>
  <si>
    <t>Entwicklung und Forschung</t>
  </si>
  <si>
    <t>U</t>
  </si>
  <si>
    <t>Urlaub (Abwesend)</t>
  </si>
  <si>
    <t>Bau</t>
  </si>
  <si>
    <t>G</t>
  </si>
  <si>
    <t>Gleitzeit (Abwesend)</t>
  </si>
  <si>
    <t>Chemie</t>
  </si>
  <si>
    <t>Beratung und Planung</t>
  </si>
  <si>
    <t>Ku</t>
  </si>
  <si>
    <t>Kurzarbeit (Abwesend)</t>
  </si>
  <si>
    <t>Dienstleistungen</t>
  </si>
  <si>
    <t>B</t>
  </si>
  <si>
    <t>Betriebsschließung (Abwesend)</t>
  </si>
  <si>
    <t>Energie- und Umweltwirtschaft</t>
  </si>
  <si>
    <t>Verwaltung und Management</t>
  </si>
  <si>
    <t>V</t>
  </si>
  <si>
    <t>Vorlesung und keine Anwesenheit im Betrieb</t>
  </si>
  <si>
    <t>Finanzen</t>
  </si>
  <si>
    <t>Compliance und Recht</t>
  </si>
  <si>
    <t>VA</t>
  </si>
  <si>
    <t>Vorlesung und Anwesend im Betrieb</t>
  </si>
  <si>
    <t>Gesundheit, Medizin &amp; Pharma</t>
  </si>
  <si>
    <t>Einkauf und Beschaffung</t>
  </si>
  <si>
    <t>F</t>
  </si>
  <si>
    <t>Feiertag</t>
  </si>
  <si>
    <t>Immobilien</t>
  </si>
  <si>
    <t>Informatik und Software</t>
  </si>
  <si>
    <t>Logistik und Transport</t>
  </si>
  <si>
    <t>Informations- und Kommunikationstechnik</t>
  </si>
  <si>
    <t xml:space="preserve">Kundendienst </t>
  </si>
  <si>
    <t>Handel &amp; Konsumgüter</t>
  </si>
  <si>
    <t>Marketing und Unternehmenskommunikation</t>
  </si>
  <si>
    <t>Nahrung &amp; Genuss</t>
  </si>
  <si>
    <t>Operations</t>
  </si>
  <si>
    <t>Technik</t>
  </si>
  <si>
    <t>Verkauf und Vertrieb</t>
  </si>
  <si>
    <t>Textil &amp; Mode</t>
  </si>
  <si>
    <t>Tourismus &amp; Freizeit</t>
  </si>
  <si>
    <t>Transport &amp; Logistik</t>
  </si>
  <si>
    <t>Werkstoffe &amp; Werkstoffverarbeitung</t>
  </si>
  <si>
    <t>Wohnen &amp; Einrichtung</t>
  </si>
  <si>
    <t xml:space="preserve">Erstellen einer Liste mit allen Rechnern </t>
  </si>
  <si>
    <t>Weiterarbeiten der Rechner-Liste, Überprüfung der Inventur der Vitesco-Anlagen</t>
  </si>
  <si>
    <t>Überprüfung der Inventur der Vitesco-Anlagen</t>
  </si>
  <si>
    <t>Führung in der Logistik, Termin für MSFT Geräte, Inventur Vitesco-Anlagen</t>
  </si>
  <si>
    <t>Durchsprechung für Vitesco-Projekt, Führung der SAT-Airbag-Anlage</t>
  </si>
  <si>
    <t xml:space="preserve">Durchsprechung von Verschrottung der OES-Anlage, Inventur der OES/VGS400 Anlage, Besprechung mit Vitesco </t>
  </si>
  <si>
    <t>Inventur mit Masterlisten Vergleich, ICP-Liste automatisieren</t>
  </si>
  <si>
    <t>Layout Erstellen für Vitesco, ICP-Liste automatisieren, AU Hochladen</t>
  </si>
  <si>
    <t>Flashen neuer Steuergeräte, Layout Erstellen für Vitesc</t>
  </si>
  <si>
    <t>Layout Erstellen für Vitesco mit Typenschilder der Anlagen</t>
  </si>
  <si>
    <t>Durchsprache mit Vitesco, neue Masterliste erstellen</t>
  </si>
  <si>
    <t>Erstellen von Hardware Life Cycle Anträgen, OES Verschrottung</t>
  </si>
  <si>
    <t>OES Verschrottung, Termin mit Scheibinger</t>
  </si>
  <si>
    <t>OES Verschrottung, Klärung des Kühlwassersystem von den VGS Anlagen, ICP-Liste automatisieren</t>
  </si>
  <si>
    <t>Durchsprache mit Vitesco, Klärung des Kühlwassersystem von den VGS Anlagen</t>
  </si>
  <si>
    <t>Vergleich der Masterliste mit dem Hallenlayout</t>
  </si>
  <si>
    <t>Abstimmung der IPC Liste, Durchschauen der Vitesco-Analgen wegen des Kühlwassersystem</t>
  </si>
  <si>
    <t>Durchsuchen der Scheibinger Halle und Halle 4 nach relevaten Assets, Termin mit Firma Stahl zum Abbau Linie 5</t>
  </si>
  <si>
    <t>Transportaufträge für OES erstellt und makiert</t>
  </si>
  <si>
    <t>Erstellung einer automatischen Excel für Rechner, Inventur und Kennzeichnung der SIMAF Anlange im HallenLayout</t>
  </si>
  <si>
    <t>Inventur und Kennzeichnung der SIMAF Anlange im HallenLayout</t>
  </si>
  <si>
    <t>Inventur und Kennzeichnung der FAA und BAA Anlange im HallenLayout</t>
  </si>
  <si>
    <t>Updaten der Masterliste mit allen Assets</t>
  </si>
  <si>
    <t>Termin mit Vitesco vorort, Besichtung der BAA und FAA</t>
  </si>
  <si>
    <t>Regeltermin mit Vitesco, Führung gegeben durch die Fertigung</t>
  </si>
  <si>
    <t>Inventur SIMAF</t>
  </si>
  <si>
    <t>Erholungstag</t>
  </si>
  <si>
    <t>Suchen der Betriebsmittelbeleitordner von VGS für Vitesco, Kennzeichnung der Shared Equipment</t>
  </si>
  <si>
    <t>Betriebsratsitzung, Inventur VGS</t>
  </si>
  <si>
    <t>Vitesco zu Besuch für 3D-Scan von VGS</t>
  </si>
  <si>
    <t>Suchen der Betriebsmittelbeleitordner von VGS für Vitesco, Schulung</t>
  </si>
  <si>
    <t>Inventur SIMAF Sensor, Schulung</t>
  </si>
  <si>
    <t>Inventur VGS für Hallenlayout und Masterliste</t>
  </si>
  <si>
    <t>Überarbeitung der MFST-Geräte, Schulung</t>
  </si>
  <si>
    <t>Vitesco Meeting, Schulung, OES Teile sortieren</t>
  </si>
  <si>
    <t>Ersatzteile nachschauen und einordnen, Vitesco intern Meeting</t>
  </si>
  <si>
    <t>Termin über PowerBI, Überarbeitung der MFST Geräte</t>
  </si>
  <si>
    <t>suchen der PDK-Assets in der DTA für Vitesco, Jour fixe Termin</t>
  </si>
  <si>
    <t>Übertstundenfrei</t>
  </si>
  <si>
    <t>Musterbau ECP2 Nockenwellensteuergerät</t>
  </si>
  <si>
    <t>Vitesco Meeting, VGS Inventur</t>
  </si>
  <si>
    <t>Vitesco intern Meeting, Kalbrierungen von der VGS-Anlage</t>
  </si>
  <si>
    <t>Besichtung der Quality Labs, Untersuchung der Absaugung von VGS</t>
  </si>
  <si>
    <t>PC-Rechner ausabuen vom Emitec, VGS Betriebsmittel suchen und Layout vervollständigen</t>
  </si>
  <si>
    <t>64</t>
  </si>
  <si>
    <t>69</t>
  </si>
  <si>
    <t>73</t>
  </si>
  <si>
    <t>78</t>
  </si>
  <si>
    <t>Erholungstag 1</t>
  </si>
  <si>
    <t>Erholungstag 2</t>
  </si>
  <si>
    <t>Erholungstag 3</t>
  </si>
  <si>
    <t>79</t>
  </si>
  <si>
    <t>Home Ofiice</t>
  </si>
  <si>
    <t>81</t>
  </si>
  <si>
    <t>85</t>
  </si>
  <si>
    <t>Ende Pflichtprakitkum 90</t>
  </si>
  <si>
    <t>Beschichtung des Physik-Labor, Einführung bei der IE1 für Prozesse, VGS Anlagen Stickstoff suche</t>
  </si>
  <si>
    <t>PDK-Assets ausbauen, OES-Teile wurden vom Scheibinger abgeholt</t>
  </si>
  <si>
    <t>AU überarbeiten, Erstellung der PSS Schichtauslastung</t>
  </si>
  <si>
    <t>Musterbau Scania, Vitesco Besuch für Assets/Ersatzteile von Emitec</t>
  </si>
  <si>
    <t xml:space="preserve">Musterbau Scania, Erstellung der PSS Schichtauslastung </t>
  </si>
  <si>
    <t>Fertigungsrundgang OES</t>
  </si>
  <si>
    <t>Vitesco externes und internes Termin, Kardex-Regal nach Betriebsmittel durchsuchen von VGS</t>
  </si>
  <si>
    <t>AU überarbeitet,  Kardex-Regal nach Betriebsmittel durchsuchen von VGS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</si>
</sst>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u/>
      <sz val="16"/>
      <color theme="1"/>
      <name val="Arial"/>
      <family val="2"/>
    </font>
    <font>
      <sz val="11"/>
      <color rgb="FF000000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medium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 style="medium">
        <color auto="1"/>
      </top>
      <bottom/>
      <diagonal style="medium">
        <color auto="1"/>
      </diagonal>
    </border>
    <border diagonalUp="1">
      <left/>
      <right/>
      <top/>
      <bottom style="medium">
        <color auto="1"/>
      </bottom>
      <diagonal style="medium">
        <color auto="1"/>
      </diagonal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Protection="1">
      <protection locked="0"/>
    </xf>
    <xf numFmtId="14" fontId="1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4" fontId="1" fillId="3" borderId="3" xfId="0" applyNumberFormat="1" applyFont="1" applyFill="1" applyBorder="1"/>
    <xf numFmtId="0" fontId="1" fillId="3" borderId="3" xfId="0" applyFont="1" applyFill="1" applyBorder="1" applyProtection="1">
      <protection locked="0"/>
    </xf>
    <xf numFmtId="0" fontId="1" fillId="3" borderId="5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14" fontId="1" fillId="3" borderId="8" xfId="0" applyNumberFormat="1" applyFont="1" applyFill="1" applyBorder="1"/>
    <xf numFmtId="0" fontId="1" fillId="3" borderId="8" xfId="0" applyFont="1" applyFill="1" applyBorder="1" applyProtection="1">
      <protection locked="0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4" xfId="0" applyFont="1" applyFill="1" applyBorder="1"/>
    <xf numFmtId="0" fontId="2" fillId="2" borderId="14" xfId="0" applyFont="1" applyFill="1" applyBorder="1" applyAlignment="1">
      <alignment horizontal="center" wrapText="1"/>
    </xf>
    <xf numFmtId="0" fontId="1" fillId="2" borderId="15" xfId="0" applyFont="1" applyFill="1" applyBorder="1"/>
    <xf numFmtId="49" fontId="1" fillId="3" borderId="4" xfId="0" applyNumberFormat="1" applyFont="1" applyFill="1" applyBorder="1" applyAlignment="1" applyProtection="1">
      <alignment horizontal="left" vertical="top" wrapText="1"/>
      <protection locked="0"/>
    </xf>
    <xf numFmtId="49" fontId="1" fillId="3" borderId="6" xfId="0" applyNumberFormat="1" applyFont="1" applyFill="1" applyBorder="1" applyAlignment="1" applyProtection="1">
      <alignment horizontal="left" vertical="top" wrapText="1"/>
      <protection locked="0"/>
    </xf>
    <xf numFmtId="49" fontId="1" fillId="3" borderId="9" xfId="0" applyNumberFormat="1" applyFont="1" applyFill="1" applyBorder="1" applyAlignment="1" applyProtection="1">
      <alignment horizontal="left" vertical="top" wrapText="1"/>
      <protection locked="0"/>
    </xf>
    <xf numFmtId="0" fontId="3" fillId="0" borderId="0" xfId="0" applyFont="1"/>
    <xf numFmtId="0" fontId="1" fillId="3" borderId="0" xfId="0" applyFont="1" applyFill="1"/>
    <xf numFmtId="0" fontId="1" fillId="3" borderId="16" xfId="0" applyFont="1" applyFill="1" applyBorder="1"/>
    <xf numFmtId="0" fontId="1" fillId="3" borderId="0" xfId="0" applyFont="1" applyFill="1" applyAlignment="1">
      <alignment horizontal="left"/>
    </xf>
    <xf numFmtId="0" fontId="1" fillId="3" borderId="16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14" fontId="1" fillId="3" borderId="18" xfId="0" applyNumberFormat="1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3" borderId="20" xfId="0" applyFont="1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5" fillId="3" borderId="0" xfId="0" applyFont="1" applyFill="1"/>
    <xf numFmtId="0" fontId="6" fillId="3" borderId="0" xfId="0" applyFont="1" applyFill="1"/>
    <xf numFmtId="0" fontId="1" fillId="3" borderId="16" xfId="0" applyFont="1" applyFill="1" applyBorder="1" applyAlignment="1" applyProtection="1">
      <alignment horizontal="left"/>
      <protection locked="0"/>
    </xf>
    <xf numFmtId="14" fontId="1" fillId="3" borderId="3" xfId="0" applyNumberFormat="1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14" fontId="1" fillId="3" borderId="8" xfId="0" applyNumberFormat="1" applyFont="1" applyFill="1" applyBorder="1" applyProtection="1">
      <protection locked="0"/>
    </xf>
    <xf numFmtId="20" fontId="1" fillId="3" borderId="1" xfId="0" applyNumberFormat="1" applyFont="1" applyFill="1" applyBorder="1" applyProtection="1">
      <protection locked="0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3" borderId="16" xfId="0" applyFont="1" applyFill="1" applyBorder="1" applyProtection="1">
      <protection locked="0"/>
    </xf>
    <xf numFmtId="0" fontId="7" fillId="4" borderId="2" xfId="0" applyFont="1" applyFill="1" applyBorder="1"/>
    <xf numFmtId="0" fontId="7" fillId="4" borderId="3" xfId="0" applyFont="1" applyFill="1" applyBorder="1"/>
    <xf numFmtId="14" fontId="7" fillId="4" borderId="3" xfId="0" applyNumberFormat="1" applyFont="1" applyFill="1" applyBorder="1"/>
    <xf numFmtId="14" fontId="7" fillId="4" borderId="3" xfId="0" applyNumberFormat="1" applyFont="1" applyFill="1" applyBorder="1" applyProtection="1">
      <protection locked="0"/>
    </xf>
    <xf numFmtId="0" fontId="7" fillId="4" borderId="3" xfId="0" applyFont="1" applyFill="1" applyBorder="1" applyProtection="1">
      <protection locked="0"/>
    </xf>
    <xf numFmtId="49" fontId="7" fillId="4" borderId="4" xfId="0" applyNumberFormat="1" applyFont="1" applyFill="1" applyBorder="1" applyAlignment="1" applyProtection="1">
      <alignment horizontal="left" vertical="top" wrapText="1"/>
      <protection locked="0"/>
    </xf>
    <xf numFmtId="0" fontId="7" fillId="4" borderId="5" xfId="0" applyFont="1" applyFill="1" applyBorder="1"/>
    <xf numFmtId="0" fontId="7" fillId="4" borderId="1" xfId="0" applyFont="1" applyFill="1" applyBorder="1"/>
    <xf numFmtId="14" fontId="7" fillId="4" borderId="1" xfId="0" applyNumberFormat="1" applyFont="1" applyFill="1" applyBorder="1"/>
    <xf numFmtId="14" fontId="7" fillId="4" borderId="1" xfId="0" applyNumberFormat="1" applyFont="1" applyFill="1" applyBorder="1" applyProtection="1">
      <protection locked="0"/>
    </xf>
    <xf numFmtId="0" fontId="7" fillId="4" borderId="1" xfId="0" applyFont="1" applyFill="1" applyBorder="1" applyProtection="1">
      <protection locked="0"/>
    </xf>
    <xf numFmtId="49" fontId="7" fillId="4" borderId="6" xfId="0" applyNumberFormat="1" applyFont="1" applyFill="1" applyBorder="1" applyAlignment="1" applyProtection="1">
      <alignment horizontal="left" vertical="top" wrapText="1"/>
      <protection locked="0"/>
    </xf>
    <xf numFmtId="20" fontId="7" fillId="4" borderId="1" xfId="0" applyNumberFormat="1" applyFont="1" applyFill="1" applyBorder="1" applyProtection="1">
      <protection locked="0"/>
    </xf>
    <xf numFmtId="0" fontId="7" fillId="4" borderId="7" xfId="0" applyFont="1" applyFill="1" applyBorder="1"/>
    <xf numFmtId="0" fontId="7" fillId="4" borderId="8" xfId="0" applyFont="1" applyFill="1" applyBorder="1"/>
    <xf numFmtId="14" fontId="7" fillId="4" borderId="8" xfId="0" applyNumberFormat="1" applyFont="1" applyFill="1" applyBorder="1"/>
    <xf numFmtId="14" fontId="7" fillId="4" borderId="8" xfId="0" applyNumberFormat="1" applyFont="1" applyFill="1" applyBorder="1" applyProtection="1">
      <protection locked="0"/>
    </xf>
    <xf numFmtId="0" fontId="7" fillId="4" borderId="8" xfId="0" applyFont="1" applyFill="1" applyBorder="1" applyProtection="1">
      <protection locked="0"/>
    </xf>
    <xf numFmtId="49" fontId="7" fillId="4" borderId="9" xfId="0" applyNumberFormat="1" applyFont="1" applyFill="1" applyBorder="1" applyAlignment="1" applyProtection="1">
      <alignment horizontal="left" vertical="top" wrapText="1"/>
      <protection locked="0"/>
    </xf>
    <xf numFmtId="0" fontId="7" fillId="4" borderId="0" xfId="0" applyFont="1" applyFill="1"/>
    <xf numFmtId="0" fontId="8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10" xfId="0" applyFont="1" applyFill="1" applyBorder="1"/>
    <xf numFmtId="0" fontId="7" fillId="4" borderId="11" xfId="0" applyFont="1" applyFill="1" applyBorder="1"/>
    <xf numFmtId="0" fontId="7" fillId="4" borderId="12" xfId="0" applyFont="1" applyFill="1" applyBorder="1"/>
    <xf numFmtId="0" fontId="7" fillId="4" borderId="14" xfId="0" applyFont="1" applyFill="1" applyBorder="1"/>
    <xf numFmtId="0" fontId="7" fillId="4" borderId="15" xfId="0" applyFont="1" applyFill="1" applyBorder="1"/>
    <xf numFmtId="0" fontId="7" fillId="4" borderId="16" xfId="0" applyFont="1" applyFill="1" applyBorder="1" applyAlignment="1">
      <alignment horizontal="left"/>
    </xf>
    <xf numFmtId="0" fontId="1" fillId="2" borderId="0" xfId="0" applyFont="1" applyFill="1"/>
    <xf numFmtId="49" fontId="7" fillId="4" borderId="0" xfId="0" applyNumberFormat="1" applyFont="1" applyFill="1" applyAlignment="1" applyProtection="1">
      <alignment horizontal="left" vertical="top" wrapText="1"/>
      <protection locked="0"/>
    </xf>
    <xf numFmtId="49" fontId="1" fillId="3" borderId="0" xfId="0" applyNumberFormat="1" applyFont="1" applyFill="1" applyAlignment="1" applyProtection="1">
      <alignment horizontal="left" vertical="top" wrapText="1"/>
      <protection locked="0"/>
    </xf>
    <xf numFmtId="0" fontId="10" fillId="3" borderId="3" xfId="0" applyFont="1" applyFill="1" applyBorder="1"/>
    <xf numFmtId="0" fontId="10" fillId="3" borderId="1" xfId="0" applyFont="1" applyFill="1" applyBorder="1"/>
    <xf numFmtId="0" fontId="10" fillId="3" borderId="8" xfId="0" applyFont="1" applyFill="1" applyBorder="1"/>
    <xf numFmtId="0" fontId="1" fillId="0" borderId="0" xfId="0" applyFont="1" applyProtection="1">
      <protection locked="0"/>
    </xf>
    <xf numFmtId="49" fontId="11" fillId="4" borderId="6" xfId="0" applyNumberFormat="1" applyFont="1" applyFill="1" applyBorder="1" applyAlignment="1" applyProtection="1">
      <alignment horizontal="left" vertical="top" wrapText="1"/>
      <protection locked="0"/>
    </xf>
    <xf numFmtId="0" fontId="12" fillId="0" borderId="0" xfId="0" applyFont="1"/>
    <xf numFmtId="0" fontId="7" fillId="4" borderId="1" xfId="0" applyNumberFormat="1" applyFont="1" applyFill="1" applyBorder="1" applyProtection="1">
      <protection locked="0"/>
    </xf>
    <xf numFmtId="49" fontId="13" fillId="4" borderId="6" xfId="0" applyNumberFormat="1" applyFont="1" applyFill="1" applyBorder="1" applyAlignment="1" applyProtection="1">
      <alignment horizontal="left" vertical="top" wrapText="1"/>
      <protection locked="0"/>
    </xf>
    <xf numFmtId="49" fontId="13" fillId="4" borderId="4" xfId="0" applyNumberFormat="1" applyFont="1" applyFill="1" applyBorder="1" applyAlignment="1" applyProtection="1">
      <alignment horizontal="left" vertical="top" wrapText="1"/>
      <protection locked="0"/>
    </xf>
    <xf numFmtId="0" fontId="13" fillId="0" borderId="0" xfId="0" applyFont="1" applyProtection="1">
      <protection locked="0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/>
    </xf>
    <xf numFmtId="0" fontId="4" fillId="3" borderId="16" xfId="1" applyFill="1" applyBorder="1" applyAlignment="1" applyProtection="1">
      <alignment horizontal="left"/>
      <protection locked="0"/>
    </xf>
    <xf numFmtId="0" fontId="1" fillId="3" borderId="16" xfId="0" applyFont="1" applyFill="1" applyBorder="1" applyAlignment="1" applyProtection="1">
      <alignment horizontal="left"/>
      <protection locked="0"/>
    </xf>
    <xf numFmtId="14" fontId="1" fillId="3" borderId="16" xfId="0" applyNumberFormat="1" applyFont="1" applyFill="1" applyBorder="1" applyAlignment="1" applyProtection="1">
      <alignment horizontal="left"/>
      <protection locked="0"/>
    </xf>
    <xf numFmtId="49" fontId="1" fillId="3" borderId="16" xfId="0" applyNumberFormat="1" applyFont="1" applyFill="1" applyBorder="1" applyAlignment="1" applyProtection="1">
      <alignment horizontal="left"/>
      <protection locked="0"/>
    </xf>
    <xf numFmtId="0" fontId="7" fillId="4" borderId="16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174172</xdr:colOff>
      <xdr:row>13</xdr:row>
      <xdr:rowOff>97972</xdr:rowOff>
    </xdr:from>
    <xdr:to>
      <xdr:col>6</xdr:col>
      <xdr:colOff>174172</xdr:colOff>
      <xdr:row>14</xdr:row>
      <xdr:rowOff>544285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2FE5803E-14E3-4B6A-9A76-70D9FAF47479}"/>
            </a:ext>
          </a:extLst>
        </xdr:cNvPr>
        <xdr:cNvCxnSpPr/>
      </xdr:nvCxnSpPr>
      <xdr:spPr>
        <a:xfrm flipH="1">
          <a:off x="2313215" y="1186543"/>
          <a:ext cx="0" cy="625928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13</xdr:row>
      <xdr:rowOff>93453</xdr:rowOff>
    </xdr:from>
    <xdr:to>
      <xdr:col>6</xdr:col>
      <xdr:colOff>323491</xdr:colOff>
      <xdr:row>13</xdr:row>
      <xdr:rowOff>96125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2B39A2A3-728C-4FD6-AF93-FA7F57A26237}"/>
            </a:ext>
          </a:extLst>
        </xdr:cNvPr>
        <xdr:cNvCxnSpPr/>
      </xdr:nvCxnSpPr>
      <xdr:spPr>
        <a:xfrm flipV="1">
          <a:off x="2312598" y="1182538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56</xdr:row>
      <xdr:rowOff>97972</xdr:rowOff>
    </xdr:from>
    <xdr:to>
      <xdr:col>6</xdr:col>
      <xdr:colOff>174172</xdr:colOff>
      <xdr:row>57</xdr:row>
      <xdr:rowOff>544285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BC5811C-DB19-4552-9D19-55090D278662}"/>
            </a:ext>
          </a:extLst>
        </xdr:cNvPr>
        <xdr:cNvCxnSpPr/>
      </xdr:nvCxnSpPr>
      <xdr:spPr>
        <a:xfrm flipH="1">
          <a:off x="2322224" y="1740213"/>
          <a:ext cx="0" cy="630244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56</xdr:row>
      <xdr:rowOff>93453</xdr:rowOff>
    </xdr:from>
    <xdr:to>
      <xdr:col>6</xdr:col>
      <xdr:colOff>323491</xdr:colOff>
      <xdr:row>56</xdr:row>
      <xdr:rowOff>96125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96DC5D85-D709-40FF-874D-28E7BC3D5DF2}"/>
            </a:ext>
          </a:extLst>
        </xdr:cNvPr>
        <xdr:cNvCxnSpPr/>
      </xdr:nvCxnSpPr>
      <xdr:spPr>
        <a:xfrm flipV="1">
          <a:off x="2318424" y="1735694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99</xdr:row>
      <xdr:rowOff>97972</xdr:rowOff>
    </xdr:from>
    <xdr:to>
      <xdr:col>6</xdr:col>
      <xdr:colOff>174172</xdr:colOff>
      <xdr:row>100</xdr:row>
      <xdr:rowOff>544285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5E8CDCCA-C5F3-411C-9F06-36F3D59B7D3F}"/>
            </a:ext>
          </a:extLst>
        </xdr:cNvPr>
        <xdr:cNvCxnSpPr/>
      </xdr:nvCxnSpPr>
      <xdr:spPr>
        <a:xfrm flipH="1">
          <a:off x="2322224" y="7652282"/>
          <a:ext cx="0" cy="277819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99</xdr:row>
      <xdr:rowOff>93453</xdr:rowOff>
    </xdr:from>
    <xdr:to>
      <xdr:col>6</xdr:col>
      <xdr:colOff>323491</xdr:colOff>
      <xdr:row>99</xdr:row>
      <xdr:rowOff>96125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9BADBFB7-1761-4D0B-A8CE-AF685E7BF9C4}"/>
            </a:ext>
          </a:extLst>
        </xdr:cNvPr>
        <xdr:cNvCxnSpPr/>
      </xdr:nvCxnSpPr>
      <xdr:spPr>
        <a:xfrm flipV="1">
          <a:off x="2318424" y="7647763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142</xdr:row>
      <xdr:rowOff>97972</xdr:rowOff>
    </xdr:from>
    <xdr:to>
      <xdr:col>6</xdr:col>
      <xdr:colOff>174172</xdr:colOff>
      <xdr:row>143</xdr:row>
      <xdr:rowOff>544285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7C56E5BC-804E-4262-87B9-ECB02487A970}"/>
            </a:ext>
          </a:extLst>
        </xdr:cNvPr>
        <xdr:cNvCxnSpPr/>
      </xdr:nvCxnSpPr>
      <xdr:spPr>
        <a:xfrm flipH="1">
          <a:off x="2322224" y="7652282"/>
          <a:ext cx="0" cy="277819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142</xdr:row>
      <xdr:rowOff>93453</xdr:rowOff>
    </xdr:from>
    <xdr:to>
      <xdr:col>6</xdr:col>
      <xdr:colOff>323491</xdr:colOff>
      <xdr:row>142</xdr:row>
      <xdr:rowOff>96125</xdr:rowOff>
    </xdr:to>
    <xdr:cxnSp macro="">
      <xdr:nvCxnSpPr>
        <xdr:cNvPr id="10" name="Gerader Verbinder 9">
          <a:extLst>
            <a:ext uri="{FF2B5EF4-FFF2-40B4-BE49-F238E27FC236}">
              <a16:creationId xmlns:a16="http://schemas.microsoft.com/office/drawing/2014/main" id="{573ED37C-0B37-4ADF-A3AB-32F8AC790AEA}"/>
            </a:ext>
          </a:extLst>
        </xdr:cNvPr>
        <xdr:cNvCxnSpPr/>
      </xdr:nvCxnSpPr>
      <xdr:spPr>
        <a:xfrm flipV="1">
          <a:off x="2318424" y="7647763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185</xdr:row>
      <xdr:rowOff>97972</xdr:rowOff>
    </xdr:from>
    <xdr:to>
      <xdr:col>6</xdr:col>
      <xdr:colOff>174172</xdr:colOff>
      <xdr:row>186</xdr:row>
      <xdr:rowOff>544285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025486B7-6797-48EF-99DA-58420EB2D177}"/>
            </a:ext>
          </a:extLst>
        </xdr:cNvPr>
        <xdr:cNvCxnSpPr/>
      </xdr:nvCxnSpPr>
      <xdr:spPr>
        <a:xfrm flipH="1">
          <a:off x="2322224" y="19476420"/>
          <a:ext cx="0" cy="630244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185</xdr:row>
      <xdr:rowOff>93453</xdr:rowOff>
    </xdr:from>
    <xdr:to>
      <xdr:col>6</xdr:col>
      <xdr:colOff>323491</xdr:colOff>
      <xdr:row>185</xdr:row>
      <xdr:rowOff>96125</xdr:rowOff>
    </xdr:to>
    <xdr:cxnSp macro="">
      <xdr:nvCxnSpPr>
        <xdr:cNvPr id="12" name="Gerader Verbinder 11">
          <a:extLst>
            <a:ext uri="{FF2B5EF4-FFF2-40B4-BE49-F238E27FC236}">
              <a16:creationId xmlns:a16="http://schemas.microsoft.com/office/drawing/2014/main" id="{45211610-A93F-4D86-B8F5-7D96FBDE597D}"/>
            </a:ext>
          </a:extLst>
        </xdr:cNvPr>
        <xdr:cNvCxnSpPr/>
      </xdr:nvCxnSpPr>
      <xdr:spPr>
        <a:xfrm flipV="1">
          <a:off x="2318424" y="19471901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228</xdr:row>
      <xdr:rowOff>97972</xdr:rowOff>
    </xdr:from>
    <xdr:to>
      <xdr:col>6</xdr:col>
      <xdr:colOff>174172</xdr:colOff>
      <xdr:row>229</xdr:row>
      <xdr:rowOff>544285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4C152332-229E-43E3-A78F-EFA6648D6B99}"/>
            </a:ext>
          </a:extLst>
        </xdr:cNvPr>
        <xdr:cNvCxnSpPr/>
      </xdr:nvCxnSpPr>
      <xdr:spPr>
        <a:xfrm flipH="1">
          <a:off x="2322224" y="25388489"/>
          <a:ext cx="0" cy="277819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228</xdr:row>
      <xdr:rowOff>93453</xdr:rowOff>
    </xdr:from>
    <xdr:to>
      <xdr:col>6</xdr:col>
      <xdr:colOff>323491</xdr:colOff>
      <xdr:row>228</xdr:row>
      <xdr:rowOff>96125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9DBC6203-8017-4B86-B8C4-42C6F0D0006C}"/>
            </a:ext>
          </a:extLst>
        </xdr:cNvPr>
        <xdr:cNvCxnSpPr/>
      </xdr:nvCxnSpPr>
      <xdr:spPr>
        <a:xfrm flipV="1">
          <a:off x="2318424" y="2538397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128189</xdr:colOff>
      <xdr:row>13</xdr:row>
      <xdr:rowOff>117679</xdr:rowOff>
    </xdr:from>
    <xdr:to>
      <xdr:col>3</xdr:col>
      <xdr:colOff>128189</xdr:colOff>
      <xdr:row>14</xdr:row>
      <xdr:rowOff>563992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26EC8A2A-831B-4EC5-9024-F928814D19B7}"/>
            </a:ext>
          </a:extLst>
        </xdr:cNvPr>
        <xdr:cNvCxnSpPr/>
      </xdr:nvCxnSpPr>
      <xdr:spPr>
        <a:xfrm flipH="1">
          <a:off x="1560223" y="1759920"/>
          <a:ext cx="0" cy="630244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124389</xdr:colOff>
      <xdr:row>13</xdr:row>
      <xdr:rowOff>113160</xdr:rowOff>
    </xdr:from>
    <xdr:to>
      <xdr:col>4</xdr:col>
      <xdr:colOff>1611</xdr:colOff>
      <xdr:row>13</xdr:row>
      <xdr:rowOff>115832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41090428-2B0B-43E5-80B2-2CB5D0C98A22}"/>
            </a:ext>
          </a:extLst>
        </xdr:cNvPr>
        <xdr:cNvCxnSpPr/>
      </xdr:nvCxnSpPr>
      <xdr:spPr>
        <a:xfrm flipV="1">
          <a:off x="1556423" y="1755401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104063</xdr:colOff>
      <xdr:row>56</xdr:row>
      <xdr:rowOff>104782</xdr:rowOff>
    </xdr:from>
    <xdr:to>
      <xdr:col>3</xdr:col>
      <xdr:colOff>104063</xdr:colOff>
      <xdr:row>57</xdr:row>
      <xdr:rowOff>551094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1AFE2A7A-1294-42EF-959F-A9C57DE80C13}"/>
            </a:ext>
          </a:extLst>
        </xdr:cNvPr>
        <xdr:cNvCxnSpPr/>
      </xdr:nvCxnSpPr>
      <xdr:spPr>
        <a:xfrm flipH="1">
          <a:off x="1628063" y="10075953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100263</xdr:colOff>
      <xdr:row>56</xdr:row>
      <xdr:rowOff>100263</xdr:rowOff>
    </xdr:from>
    <xdr:to>
      <xdr:col>3</xdr:col>
      <xdr:colOff>253209</xdr:colOff>
      <xdr:row>56</xdr:row>
      <xdr:rowOff>102935</xdr:rowOff>
    </xdr:to>
    <xdr:cxnSp macro="">
      <xdr:nvCxnSpPr>
        <xdr:cNvPr id="18" name="Gerader Verbinder 17">
          <a:extLst>
            <a:ext uri="{FF2B5EF4-FFF2-40B4-BE49-F238E27FC236}">
              <a16:creationId xmlns:a16="http://schemas.microsoft.com/office/drawing/2014/main" id="{56C23562-6C07-47C1-BA3F-FE2AEFD97AFB}"/>
            </a:ext>
          </a:extLst>
        </xdr:cNvPr>
        <xdr:cNvCxnSpPr/>
      </xdr:nvCxnSpPr>
      <xdr:spPr>
        <a:xfrm flipV="1">
          <a:off x="1624263" y="1007143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94037</xdr:colOff>
      <xdr:row>99</xdr:row>
      <xdr:rowOff>99769</xdr:rowOff>
    </xdr:from>
    <xdr:to>
      <xdr:col>3</xdr:col>
      <xdr:colOff>94037</xdr:colOff>
      <xdr:row>100</xdr:row>
      <xdr:rowOff>546081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99F30D1C-DFB6-4250-9B86-1C4BA2C37A4A}"/>
            </a:ext>
          </a:extLst>
        </xdr:cNvPr>
        <xdr:cNvCxnSpPr/>
      </xdr:nvCxnSpPr>
      <xdr:spPr>
        <a:xfrm flipH="1">
          <a:off x="1618037" y="18242387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90237</xdr:colOff>
      <xdr:row>99</xdr:row>
      <xdr:rowOff>95250</xdr:rowOff>
    </xdr:from>
    <xdr:to>
      <xdr:col>3</xdr:col>
      <xdr:colOff>243183</xdr:colOff>
      <xdr:row>99</xdr:row>
      <xdr:rowOff>97922</xdr:rowOff>
    </xdr:to>
    <xdr:cxnSp macro="">
      <xdr:nvCxnSpPr>
        <xdr:cNvPr id="20" name="Gerader Verbinder 19">
          <a:extLst>
            <a:ext uri="{FF2B5EF4-FFF2-40B4-BE49-F238E27FC236}">
              <a16:creationId xmlns:a16="http://schemas.microsoft.com/office/drawing/2014/main" id="{8238D84C-6D8F-4BEF-B33E-74AB69BC6A1D}"/>
            </a:ext>
          </a:extLst>
        </xdr:cNvPr>
        <xdr:cNvCxnSpPr/>
      </xdr:nvCxnSpPr>
      <xdr:spPr>
        <a:xfrm flipV="1">
          <a:off x="1614237" y="18237868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109076</xdr:colOff>
      <xdr:row>142</xdr:row>
      <xdr:rowOff>99769</xdr:rowOff>
    </xdr:from>
    <xdr:to>
      <xdr:col>3</xdr:col>
      <xdr:colOff>109076</xdr:colOff>
      <xdr:row>143</xdr:row>
      <xdr:rowOff>546081</xdr:rowOff>
    </xdr:to>
    <xdr:cxnSp macro="">
      <xdr:nvCxnSpPr>
        <xdr:cNvPr id="23" name="Gerade Verbindung mit Pfeil 22">
          <a:extLst>
            <a:ext uri="{FF2B5EF4-FFF2-40B4-BE49-F238E27FC236}">
              <a16:creationId xmlns:a16="http://schemas.microsoft.com/office/drawing/2014/main" id="{25D043A2-C2BF-4019-89C6-CAB3AE9E1643}"/>
            </a:ext>
          </a:extLst>
        </xdr:cNvPr>
        <xdr:cNvCxnSpPr/>
      </xdr:nvCxnSpPr>
      <xdr:spPr>
        <a:xfrm flipH="1">
          <a:off x="1633076" y="26804861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105276</xdr:colOff>
      <xdr:row>142</xdr:row>
      <xdr:rowOff>95250</xdr:rowOff>
    </xdr:from>
    <xdr:to>
      <xdr:col>3</xdr:col>
      <xdr:colOff>258222</xdr:colOff>
      <xdr:row>142</xdr:row>
      <xdr:rowOff>97922</xdr:rowOff>
    </xdr:to>
    <xdr:cxnSp macro="">
      <xdr:nvCxnSpPr>
        <xdr:cNvPr id="24" name="Gerader Verbinder 23">
          <a:extLst>
            <a:ext uri="{FF2B5EF4-FFF2-40B4-BE49-F238E27FC236}">
              <a16:creationId xmlns:a16="http://schemas.microsoft.com/office/drawing/2014/main" id="{6400BA7B-F1EE-4EE6-B604-8A50CA7A01B0}"/>
            </a:ext>
          </a:extLst>
        </xdr:cNvPr>
        <xdr:cNvCxnSpPr/>
      </xdr:nvCxnSpPr>
      <xdr:spPr>
        <a:xfrm flipV="1">
          <a:off x="1629276" y="26800342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129129</xdr:colOff>
      <xdr:row>185</xdr:row>
      <xdr:rowOff>114808</xdr:rowOff>
    </xdr:from>
    <xdr:to>
      <xdr:col>3</xdr:col>
      <xdr:colOff>129129</xdr:colOff>
      <xdr:row>186</xdr:row>
      <xdr:rowOff>561120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B6DFC3C0-A266-4986-8C1C-536FBED97103}"/>
            </a:ext>
          </a:extLst>
        </xdr:cNvPr>
        <xdr:cNvCxnSpPr/>
      </xdr:nvCxnSpPr>
      <xdr:spPr>
        <a:xfrm flipH="1">
          <a:off x="1653129" y="34991347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125329</xdr:colOff>
      <xdr:row>185</xdr:row>
      <xdr:rowOff>110289</xdr:rowOff>
    </xdr:from>
    <xdr:to>
      <xdr:col>4</xdr:col>
      <xdr:colOff>2551</xdr:colOff>
      <xdr:row>185</xdr:row>
      <xdr:rowOff>112961</xdr:rowOff>
    </xdr:to>
    <xdr:cxnSp macro="">
      <xdr:nvCxnSpPr>
        <xdr:cNvPr id="26" name="Gerader Verbinder 25">
          <a:extLst>
            <a:ext uri="{FF2B5EF4-FFF2-40B4-BE49-F238E27FC236}">
              <a16:creationId xmlns:a16="http://schemas.microsoft.com/office/drawing/2014/main" id="{537D2589-659D-4304-AADF-8A7C55B60198}"/>
            </a:ext>
          </a:extLst>
        </xdr:cNvPr>
        <xdr:cNvCxnSpPr/>
      </xdr:nvCxnSpPr>
      <xdr:spPr>
        <a:xfrm flipV="1">
          <a:off x="1649329" y="34986828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228</xdr:row>
      <xdr:rowOff>94756</xdr:rowOff>
    </xdr:from>
    <xdr:to>
      <xdr:col>3</xdr:col>
      <xdr:colOff>124116</xdr:colOff>
      <xdr:row>229</xdr:row>
      <xdr:rowOff>541068</xdr:rowOff>
    </xdr:to>
    <xdr:cxnSp macro="">
      <xdr:nvCxnSpPr>
        <xdr:cNvPr id="27" name="Gerade Verbindung mit Pfeil 26">
          <a:extLst>
            <a:ext uri="{FF2B5EF4-FFF2-40B4-BE49-F238E27FC236}">
              <a16:creationId xmlns:a16="http://schemas.microsoft.com/office/drawing/2014/main" id="{C94B3DD6-CAE0-44C5-B31A-DE6F4C122278}"/>
            </a:ext>
          </a:extLst>
        </xdr:cNvPr>
        <xdr:cNvCxnSpPr/>
      </xdr:nvCxnSpPr>
      <xdr:spPr>
        <a:xfrm flipH="1">
          <a:off x="1648116" y="43142743"/>
          <a:ext cx="0" cy="62678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228</xdr:row>
      <xdr:rowOff>90237</xdr:rowOff>
    </xdr:from>
    <xdr:to>
      <xdr:col>3</xdr:col>
      <xdr:colOff>273262</xdr:colOff>
      <xdr:row>228</xdr:row>
      <xdr:rowOff>92909</xdr:rowOff>
    </xdr:to>
    <xdr:cxnSp macro="">
      <xdr:nvCxnSpPr>
        <xdr:cNvPr id="28" name="Gerader Verbinder 27">
          <a:extLst>
            <a:ext uri="{FF2B5EF4-FFF2-40B4-BE49-F238E27FC236}">
              <a16:creationId xmlns:a16="http://schemas.microsoft.com/office/drawing/2014/main" id="{3A9C5671-A296-4AEA-BBFA-0B4C8E92DB3B}"/>
            </a:ext>
          </a:extLst>
        </xdr:cNvPr>
        <xdr:cNvCxnSpPr/>
      </xdr:nvCxnSpPr>
      <xdr:spPr>
        <a:xfrm flipV="1">
          <a:off x="1644316" y="4313822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424543</xdr:colOff>
      <xdr:row>43</xdr:row>
      <xdr:rowOff>75085</xdr:rowOff>
    </xdr:from>
    <xdr:to>
      <xdr:col>23</xdr:col>
      <xdr:colOff>49667</xdr:colOff>
      <xdr:row>49</xdr:row>
      <xdr:rowOff>14772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AAEE48C-2FFF-48BB-B58F-D0F07438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twoCellAnchor>
  <xdr:oneCellAnchor>
    <xdr:from>
      <xdr:col>19</xdr:col>
      <xdr:colOff>424543</xdr:colOff>
      <xdr:row>86</xdr:row>
      <xdr:rowOff>75085</xdr:rowOff>
    </xdr:from>
    <xdr:ext cx="2673124" cy="772444"/>
    <xdr:pic>
      <xdr:nvPicPr>
        <xdr:cNvPr id="29" name="Grafik 28">
          <a:extLst>
            <a:ext uri="{FF2B5EF4-FFF2-40B4-BE49-F238E27FC236}">
              <a16:creationId xmlns:a16="http://schemas.microsoft.com/office/drawing/2014/main" id="{8BB07F55-B8DB-40C0-9ADB-A45D3FBE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129</xdr:row>
      <xdr:rowOff>75085</xdr:rowOff>
    </xdr:from>
    <xdr:ext cx="2673124" cy="772444"/>
    <xdr:pic>
      <xdr:nvPicPr>
        <xdr:cNvPr id="30" name="Grafik 29">
          <a:extLst>
            <a:ext uri="{FF2B5EF4-FFF2-40B4-BE49-F238E27FC236}">
              <a16:creationId xmlns:a16="http://schemas.microsoft.com/office/drawing/2014/main" id="{F12955B4-4676-4D77-8FF6-920A3359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172</xdr:row>
      <xdr:rowOff>75085</xdr:rowOff>
    </xdr:from>
    <xdr:ext cx="2673124" cy="772444"/>
    <xdr:pic>
      <xdr:nvPicPr>
        <xdr:cNvPr id="31" name="Grafik 30">
          <a:extLst>
            <a:ext uri="{FF2B5EF4-FFF2-40B4-BE49-F238E27FC236}">
              <a16:creationId xmlns:a16="http://schemas.microsoft.com/office/drawing/2014/main" id="{BECEC0E8-BCB3-4850-BB67-DDE144FEF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215</xdr:row>
      <xdr:rowOff>75085</xdr:rowOff>
    </xdr:from>
    <xdr:ext cx="2673124" cy="772444"/>
    <xdr:pic>
      <xdr:nvPicPr>
        <xdr:cNvPr id="32" name="Grafik 31">
          <a:extLst>
            <a:ext uri="{FF2B5EF4-FFF2-40B4-BE49-F238E27FC236}">
              <a16:creationId xmlns:a16="http://schemas.microsoft.com/office/drawing/2014/main" id="{0453C070-39FF-482E-AE91-01C662C0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258</xdr:row>
      <xdr:rowOff>75085</xdr:rowOff>
    </xdr:from>
    <xdr:ext cx="2673124" cy="772444"/>
    <xdr:pic>
      <xdr:nvPicPr>
        <xdr:cNvPr id="33" name="Grafik 32">
          <a:extLst>
            <a:ext uri="{FF2B5EF4-FFF2-40B4-BE49-F238E27FC236}">
              <a16:creationId xmlns:a16="http://schemas.microsoft.com/office/drawing/2014/main" id="{0DCA63D0-46AC-4012-B760-E26B96E7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7548128"/>
          <a:ext cx="2673124" cy="772444"/>
        </a:xfrm>
        <a:prstGeom prst="rect">
          <a:avLst/>
        </a:prstGeom>
      </xdr:spPr>
    </xdr:pic>
    <xdr:clientData/>
  </xdr:oneCellAnchor>
  <xdr:twoCellAnchor>
    <xdr:from>
      <xdr:col>6</xdr:col>
      <xdr:colOff>174172</xdr:colOff>
      <xdr:row>271</xdr:row>
      <xdr:rowOff>97972</xdr:rowOff>
    </xdr:from>
    <xdr:to>
      <xdr:col>6</xdr:col>
      <xdr:colOff>174172</xdr:colOff>
      <xdr:row>272</xdr:row>
      <xdr:rowOff>544285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BAEE360D-902F-4BF4-A3B0-0AFB1F88C6C4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271</xdr:row>
      <xdr:rowOff>93453</xdr:rowOff>
    </xdr:from>
    <xdr:to>
      <xdr:col>6</xdr:col>
      <xdr:colOff>323491</xdr:colOff>
      <xdr:row>271</xdr:row>
      <xdr:rowOff>96125</xdr:rowOff>
    </xdr:to>
    <xdr:cxnSp macro="">
      <xdr:nvCxnSpPr>
        <xdr:cNvPr id="35" name="Gerader Verbinder 34">
          <a:extLst>
            <a:ext uri="{FF2B5EF4-FFF2-40B4-BE49-F238E27FC236}">
              <a16:creationId xmlns:a16="http://schemas.microsoft.com/office/drawing/2014/main" id="{014C5872-6FEA-4601-94E5-FB9403FEBD5D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271</xdr:row>
      <xdr:rowOff>94756</xdr:rowOff>
    </xdr:from>
    <xdr:to>
      <xdr:col>3</xdr:col>
      <xdr:colOff>124116</xdr:colOff>
      <xdr:row>272</xdr:row>
      <xdr:rowOff>541068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40DB412E-A77D-4CC3-96A1-91A0DF13DE58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271</xdr:row>
      <xdr:rowOff>90237</xdr:rowOff>
    </xdr:from>
    <xdr:to>
      <xdr:col>3</xdr:col>
      <xdr:colOff>273262</xdr:colOff>
      <xdr:row>271</xdr:row>
      <xdr:rowOff>92909</xdr:rowOff>
    </xdr:to>
    <xdr:cxnSp macro="">
      <xdr:nvCxnSpPr>
        <xdr:cNvPr id="37" name="Gerader Verbinder 36">
          <a:extLst>
            <a:ext uri="{FF2B5EF4-FFF2-40B4-BE49-F238E27FC236}">
              <a16:creationId xmlns:a16="http://schemas.microsoft.com/office/drawing/2014/main" id="{6307DF64-55A2-4952-969C-E9C594B228B2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314</xdr:row>
      <xdr:rowOff>97972</xdr:rowOff>
    </xdr:from>
    <xdr:to>
      <xdr:col>6</xdr:col>
      <xdr:colOff>174172</xdr:colOff>
      <xdr:row>315</xdr:row>
      <xdr:rowOff>544285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77E9CCB8-7335-4E69-9723-2AB510A69F42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314</xdr:row>
      <xdr:rowOff>93453</xdr:rowOff>
    </xdr:from>
    <xdr:to>
      <xdr:col>6</xdr:col>
      <xdr:colOff>323491</xdr:colOff>
      <xdr:row>314</xdr:row>
      <xdr:rowOff>96125</xdr:rowOff>
    </xdr:to>
    <xdr:cxnSp macro="">
      <xdr:nvCxnSpPr>
        <xdr:cNvPr id="39" name="Gerader Verbinder 38">
          <a:extLst>
            <a:ext uri="{FF2B5EF4-FFF2-40B4-BE49-F238E27FC236}">
              <a16:creationId xmlns:a16="http://schemas.microsoft.com/office/drawing/2014/main" id="{65443BE0-0B24-41C0-93FB-DD3006472AE2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314</xdr:row>
      <xdr:rowOff>94756</xdr:rowOff>
    </xdr:from>
    <xdr:to>
      <xdr:col>3</xdr:col>
      <xdr:colOff>124116</xdr:colOff>
      <xdr:row>315</xdr:row>
      <xdr:rowOff>541068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BD4B8C4A-546C-4BC9-BAAF-16937B40E86A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314</xdr:row>
      <xdr:rowOff>90237</xdr:rowOff>
    </xdr:from>
    <xdr:to>
      <xdr:col>3</xdr:col>
      <xdr:colOff>273262</xdr:colOff>
      <xdr:row>314</xdr:row>
      <xdr:rowOff>92909</xdr:rowOff>
    </xdr:to>
    <xdr:cxnSp macro="">
      <xdr:nvCxnSpPr>
        <xdr:cNvPr id="41" name="Gerader Verbinder 40">
          <a:extLst>
            <a:ext uri="{FF2B5EF4-FFF2-40B4-BE49-F238E27FC236}">
              <a16:creationId xmlns:a16="http://schemas.microsoft.com/office/drawing/2014/main" id="{3443700C-FD0F-4DC1-B0E0-2BD85BF5C927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357</xdr:row>
      <xdr:rowOff>97972</xdr:rowOff>
    </xdr:from>
    <xdr:to>
      <xdr:col>6</xdr:col>
      <xdr:colOff>174172</xdr:colOff>
      <xdr:row>358</xdr:row>
      <xdr:rowOff>544285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2F92FF02-FD71-493A-A3C4-A1D435782891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357</xdr:row>
      <xdr:rowOff>93453</xdr:rowOff>
    </xdr:from>
    <xdr:to>
      <xdr:col>6</xdr:col>
      <xdr:colOff>323491</xdr:colOff>
      <xdr:row>357</xdr:row>
      <xdr:rowOff>96125</xdr:rowOff>
    </xdr:to>
    <xdr:cxnSp macro="">
      <xdr:nvCxnSpPr>
        <xdr:cNvPr id="43" name="Gerader Verbinder 42">
          <a:extLst>
            <a:ext uri="{FF2B5EF4-FFF2-40B4-BE49-F238E27FC236}">
              <a16:creationId xmlns:a16="http://schemas.microsoft.com/office/drawing/2014/main" id="{A94C9A9D-63A9-48A4-AA88-94B0A2EC3CB0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357</xdr:row>
      <xdr:rowOff>94756</xdr:rowOff>
    </xdr:from>
    <xdr:to>
      <xdr:col>3</xdr:col>
      <xdr:colOff>124116</xdr:colOff>
      <xdr:row>358</xdr:row>
      <xdr:rowOff>541068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FD5AE545-2AB5-484D-8FF9-65322B1D37DA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357</xdr:row>
      <xdr:rowOff>90237</xdr:rowOff>
    </xdr:from>
    <xdr:to>
      <xdr:col>3</xdr:col>
      <xdr:colOff>273262</xdr:colOff>
      <xdr:row>357</xdr:row>
      <xdr:rowOff>92909</xdr:rowOff>
    </xdr:to>
    <xdr:cxnSp macro="">
      <xdr:nvCxnSpPr>
        <xdr:cNvPr id="45" name="Gerader Verbinder 44">
          <a:extLst>
            <a:ext uri="{FF2B5EF4-FFF2-40B4-BE49-F238E27FC236}">
              <a16:creationId xmlns:a16="http://schemas.microsoft.com/office/drawing/2014/main" id="{CD9CFD90-27EC-43C3-9B35-5DDF90381E8E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400</xdr:row>
      <xdr:rowOff>97972</xdr:rowOff>
    </xdr:from>
    <xdr:to>
      <xdr:col>6</xdr:col>
      <xdr:colOff>174172</xdr:colOff>
      <xdr:row>401</xdr:row>
      <xdr:rowOff>544285</xdr:rowOff>
    </xdr:to>
    <xdr:cxnSp macro="">
      <xdr:nvCxnSpPr>
        <xdr:cNvPr id="46" name="Gerade Verbindung mit Pfeil 45">
          <a:extLst>
            <a:ext uri="{FF2B5EF4-FFF2-40B4-BE49-F238E27FC236}">
              <a16:creationId xmlns:a16="http://schemas.microsoft.com/office/drawing/2014/main" id="{A641F20D-292C-47CF-8584-DDD8DCF8E754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400</xdr:row>
      <xdr:rowOff>93453</xdr:rowOff>
    </xdr:from>
    <xdr:to>
      <xdr:col>6</xdr:col>
      <xdr:colOff>323491</xdr:colOff>
      <xdr:row>400</xdr:row>
      <xdr:rowOff>96125</xdr:rowOff>
    </xdr:to>
    <xdr:cxnSp macro="">
      <xdr:nvCxnSpPr>
        <xdr:cNvPr id="47" name="Gerader Verbinder 46">
          <a:extLst>
            <a:ext uri="{FF2B5EF4-FFF2-40B4-BE49-F238E27FC236}">
              <a16:creationId xmlns:a16="http://schemas.microsoft.com/office/drawing/2014/main" id="{3818F447-4017-41AA-AAD0-43F587A980F6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400</xdr:row>
      <xdr:rowOff>94756</xdr:rowOff>
    </xdr:from>
    <xdr:to>
      <xdr:col>3</xdr:col>
      <xdr:colOff>124116</xdr:colOff>
      <xdr:row>401</xdr:row>
      <xdr:rowOff>541068</xdr:rowOff>
    </xdr:to>
    <xdr:cxnSp macro="">
      <xdr:nvCxnSpPr>
        <xdr:cNvPr id="48" name="Gerade Verbindung mit Pfeil 47">
          <a:extLst>
            <a:ext uri="{FF2B5EF4-FFF2-40B4-BE49-F238E27FC236}">
              <a16:creationId xmlns:a16="http://schemas.microsoft.com/office/drawing/2014/main" id="{35A423C2-FF63-4394-B8B9-24D522EA7348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400</xdr:row>
      <xdr:rowOff>90237</xdr:rowOff>
    </xdr:from>
    <xdr:to>
      <xdr:col>3</xdr:col>
      <xdr:colOff>273262</xdr:colOff>
      <xdr:row>400</xdr:row>
      <xdr:rowOff>92909</xdr:rowOff>
    </xdr:to>
    <xdr:cxnSp macro="">
      <xdr:nvCxnSpPr>
        <xdr:cNvPr id="49" name="Gerader Verbinder 48">
          <a:extLst>
            <a:ext uri="{FF2B5EF4-FFF2-40B4-BE49-F238E27FC236}">
              <a16:creationId xmlns:a16="http://schemas.microsoft.com/office/drawing/2014/main" id="{ED9D9BDB-4AFE-4486-8264-1E9CC441C34B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443</xdr:row>
      <xdr:rowOff>97972</xdr:rowOff>
    </xdr:from>
    <xdr:to>
      <xdr:col>6</xdr:col>
      <xdr:colOff>174172</xdr:colOff>
      <xdr:row>444</xdr:row>
      <xdr:rowOff>544285</xdr:rowOff>
    </xdr:to>
    <xdr:cxnSp macro="">
      <xdr:nvCxnSpPr>
        <xdr:cNvPr id="50" name="Gerade Verbindung mit Pfeil 49">
          <a:extLst>
            <a:ext uri="{FF2B5EF4-FFF2-40B4-BE49-F238E27FC236}">
              <a16:creationId xmlns:a16="http://schemas.microsoft.com/office/drawing/2014/main" id="{4A462312-6EBC-4CED-B6A1-4C205CF4034E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443</xdr:row>
      <xdr:rowOff>93453</xdr:rowOff>
    </xdr:from>
    <xdr:to>
      <xdr:col>6</xdr:col>
      <xdr:colOff>323491</xdr:colOff>
      <xdr:row>443</xdr:row>
      <xdr:rowOff>96125</xdr:rowOff>
    </xdr:to>
    <xdr:cxnSp macro="">
      <xdr:nvCxnSpPr>
        <xdr:cNvPr id="51" name="Gerader Verbinder 50">
          <a:extLst>
            <a:ext uri="{FF2B5EF4-FFF2-40B4-BE49-F238E27FC236}">
              <a16:creationId xmlns:a16="http://schemas.microsoft.com/office/drawing/2014/main" id="{0493A86E-43E2-487B-939F-0C4432E8512E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443</xdr:row>
      <xdr:rowOff>94756</xdr:rowOff>
    </xdr:from>
    <xdr:to>
      <xdr:col>3</xdr:col>
      <xdr:colOff>124116</xdr:colOff>
      <xdr:row>444</xdr:row>
      <xdr:rowOff>541068</xdr:rowOff>
    </xdr:to>
    <xdr:cxnSp macro="">
      <xdr:nvCxnSpPr>
        <xdr:cNvPr id="52" name="Gerade Verbindung mit Pfeil 51">
          <a:extLst>
            <a:ext uri="{FF2B5EF4-FFF2-40B4-BE49-F238E27FC236}">
              <a16:creationId xmlns:a16="http://schemas.microsoft.com/office/drawing/2014/main" id="{809FD66E-F3A1-42FD-8182-5B3ABABE6153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443</xdr:row>
      <xdr:rowOff>90237</xdr:rowOff>
    </xdr:from>
    <xdr:to>
      <xdr:col>3</xdr:col>
      <xdr:colOff>273262</xdr:colOff>
      <xdr:row>443</xdr:row>
      <xdr:rowOff>92909</xdr:rowOff>
    </xdr:to>
    <xdr:cxnSp macro="">
      <xdr:nvCxnSpPr>
        <xdr:cNvPr id="53" name="Gerader Verbinder 52">
          <a:extLst>
            <a:ext uri="{FF2B5EF4-FFF2-40B4-BE49-F238E27FC236}">
              <a16:creationId xmlns:a16="http://schemas.microsoft.com/office/drawing/2014/main" id="{8D51F0D7-ABD5-4646-AE1F-ED0188DAD1C3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486</xdr:row>
      <xdr:rowOff>97972</xdr:rowOff>
    </xdr:from>
    <xdr:to>
      <xdr:col>6</xdr:col>
      <xdr:colOff>174172</xdr:colOff>
      <xdr:row>487</xdr:row>
      <xdr:rowOff>544285</xdr:rowOff>
    </xdr:to>
    <xdr:cxnSp macro="">
      <xdr:nvCxnSpPr>
        <xdr:cNvPr id="54" name="Gerade Verbindung mit Pfeil 53">
          <a:extLst>
            <a:ext uri="{FF2B5EF4-FFF2-40B4-BE49-F238E27FC236}">
              <a16:creationId xmlns:a16="http://schemas.microsoft.com/office/drawing/2014/main" id="{8EF76F97-1652-4A62-A583-138D149C8C06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486</xdr:row>
      <xdr:rowOff>93453</xdr:rowOff>
    </xdr:from>
    <xdr:to>
      <xdr:col>6</xdr:col>
      <xdr:colOff>323491</xdr:colOff>
      <xdr:row>486</xdr:row>
      <xdr:rowOff>96125</xdr:rowOff>
    </xdr:to>
    <xdr:cxnSp macro="">
      <xdr:nvCxnSpPr>
        <xdr:cNvPr id="55" name="Gerader Verbinder 54">
          <a:extLst>
            <a:ext uri="{FF2B5EF4-FFF2-40B4-BE49-F238E27FC236}">
              <a16:creationId xmlns:a16="http://schemas.microsoft.com/office/drawing/2014/main" id="{72FC867B-73B7-4F15-9225-8F946F4D6882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486</xdr:row>
      <xdr:rowOff>94756</xdr:rowOff>
    </xdr:from>
    <xdr:to>
      <xdr:col>3</xdr:col>
      <xdr:colOff>124116</xdr:colOff>
      <xdr:row>487</xdr:row>
      <xdr:rowOff>541068</xdr:rowOff>
    </xdr:to>
    <xdr:cxnSp macro="">
      <xdr:nvCxnSpPr>
        <xdr:cNvPr id="56" name="Gerade Verbindung mit Pfeil 55">
          <a:extLst>
            <a:ext uri="{FF2B5EF4-FFF2-40B4-BE49-F238E27FC236}">
              <a16:creationId xmlns:a16="http://schemas.microsoft.com/office/drawing/2014/main" id="{10525E71-EDB8-45BA-A053-D64292E08D38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486</xdr:row>
      <xdr:rowOff>90237</xdr:rowOff>
    </xdr:from>
    <xdr:to>
      <xdr:col>3</xdr:col>
      <xdr:colOff>273262</xdr:colOff>
      <xdr:row>486</xdr:row>
      <xdr:rowOff>92909</xdr:rowOff>
    </xdr:to>
    <xdr:cxnSp macro="">
      <xdr:nvCxnSpPr>
        <xdr:cNvPr id="57" name="Gerader Verbinder 56">
          <a:extLst>
            <a:ext uri="{FF2B5EF4-FFF2-40B4-BE49-F238E27FC236}">
              <a16:creationId xmlns:a16="http://schemas.microsoft.com/office/drawing/2014/main" id="{4910062E-828D-4158-A1ED-FC04987D6E8F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174172</xdr:colOff>
      <xdr:row>529</xdr:row>
      <xdr:rowOff>97972</xdr:rowOff>
    </xdr:from>
    <xdr:to>
      <xdr:col>6</xdr:col>
      <xdr:colOff>174172</xdr:colOff>
      <xdr:row>530</xdr:row>
      <xdr:rowOff>544285</xdr:rowOff>
    </xdr:to>
    <xdr:cxnSp macro="">
      <xdr:nvCxnSpPr>
        <xdr:cNvPr id="58" name="Gerade Verbindung mit Pfeil 57">
          <a:extLst>
            <a:ext uri="{FF2B5EF4-FFF2-40B4-BE49-F238E27FC236}">
              <a16:creationId xmlns:a16="http://schemas.microsoft.com/office/drawing/2014/main" id="{EDA87D47-880B-4E15-AFCE-4942952B475C}"/>
            </a:ext>
          </a:extLst>
        </xdr:cNvPr>
        <xdr:cNvCxnSpPr/>
      </xdr:nvCxnSpPr>
      <xdr:spPr>
        <a:xfrm flipH="1">
          <a:off x="2688772" y="39145029"/>
          <a:ext cx="0" cy="625927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170372</xdr:colOff>
      <xdr:row>529</xdr:row>
      <xdr:rowOff>93453</xdr:rowOff>
    </xdr:from>
    <xdr:to>
      <xdr:col>6</xdr:col>
      <xdr:colOff>323491</xdr:colOff>
      <xdr:row>529</xdr:row>
      <xdr:rowOff>96125</xdr:rowOff>
    </xdr:to>
    <xdr:cxnSp macro="">
      <xdr:nvCxnSpPr>
        <xdr:cNvPr id="59" name="Gerader Verbinder 58">
          <a:extLst>
            <a:ext uri="{FF2B5EF4-FFF2-40B4-BE49-F238E27FC236}">
              <a16:creationId xmlns:a16="http://schemas.microsoft.com/office/drawing/2014/main" id="{1875DC72-26C9-4786-BF01-7A613A083AEA}"/>
            </a:ext>
          </a:extLst>
        </xdr:cNvPr>
        <xdr:cNvCxnSpPr/>
      </xdr:nvCxnSpPr>
      <xdr:spPr>
        <a:xfrm flipV="1">
          <a:off x="2684972" y="39140510"/>
          <a:ext cx="153119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124116</xdr:colOff>
      <xdr:row>529</xdr:row>
      <xdr:rowOff>94756</xdr:rowOff>
    </xdr:from>
    <xdr:to>
      <xdr:col>3</xdr:col>
      <xdr:colOff>124116</xdr:colOff>
      <xdr:row>530</xdr:row>
      <xdr:rowOff>541068</xdr:rowOff>
    </xdr:to>
    <xdr:cxnSp macro="">
      <xdr:nvCxnSpPr>
        <xdr:cNvPr id="60" name="Gerade Verbindung mit Pfeil 59">
          <a:extLst>
            <a:ext uri="{FF2B5EF4-FFF2-40B4-BE49-F238E27FC236}">
              <a16:creationId xmlns:a16="http://schemas.microsoft.com/office/drawing/2014/main" id="{DFE72672-C35F-438C-8515-3E27586886CB}"/>
            </a:ext>
          </a:extLst>
        </xdr:cNvPr>
        <xdr:cNvCxnSpPr/>
      </xdr:nvCxnSpPr>
      <xdr:spPr>
        <a:xfrm flipH="1">
          <a:off x="1648116" y="39141813"/>
          <a:ext cx="0" cy="625926"/>
        </a:xfrm>
        <a:prstGeom prst="straightConnector1">
          <a:avLst/>
        </a:prstGeom>
        <a:ln>
          <a:solidFill>
            <a:schemeClr val="tx1">
              <a:lumMod val="65000"/>
              <a:lumOff val="3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120316</xdr:colOff>
      <xdr:row>529</xdr:row>
      <xdr:rowOff>90237</xdr:rowOff>
    </xdr:from>
    <xdr:to>
      <xdr:col>3</xdr:col>
      <xdr:colOff>273262</xdr:colOff>
      <xdr:row>529</xdr:row>
      <xdr:rowOff>92909</xdr:rowOff>
    </xdr:to>
    <xdr:cxnSp macro="">
      <xdr:nvCxnSpPr>
        <xdr:cNvPr id="61" name="Gerader Verbinder 60">
          <a:extLst>
            <a:ext uri="{FF2B5EF4-FFF2-40B4-BE49-F238E27FC236}">
              <a16:creationId xmlns:a16="http://schemas.microsoft.com/office/drawing/2014/main" id="{6B6F7889-2749-46DC-91D0-A392CAEE1EC4}"/>
            </a:ext>
          </a:extLst>
        </xdr:cNvPr>
        <xdr:cNvCxnSpPr/>
      </xdr:nvCxnSpPr>
      <xdr:spPr>
        <a:xfrm flipV="1">
          <a:off x="1644316" y="39137294"/>
          <a:ext cx="152946" cy="2672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424543</xdr:colOff>
      <xdr:row>301</xdr:row>
      <xdr:rowOff>75085</xdr:rowOff>
    </xdr:from>
    <xdr:ext cx="2673124" cy="772444"/>
    <xdr:pic>
      <xdr:nvPicPr>
        <xdr:cNvPr id="62" name="Grafik 61">
          <a:extLst>
            <a:ext uri="{FF2B5EF4-FFF2-40B4-BE49-F238E27FC236}">
              <a16:creationId xmlns:a16="http://schemas.microsoft.com/office/drawing/2014/main" id="{3C07C5E3-914F-4E6C-A462-03726577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344</xdr:row>
      <xdr:rowOff>75085</xdr:rowOff>
    </xdr:from>
    <xdr:ext cx="2673124" cy="772444"/>
    <xdr:pic>
      <xdr:nvPicPr>
        <xdr:cNvPr id="63" name="Grafik 62">
          <a:extLst>
            <a:ext uri="{FF2B5EF4-FFF2-40B4-BE49-F238E27FC236}">
              <a16:creationId xmlns:a16="http://schemas.microsoft.com/office/drawing/2014/main" id="{BF20CE8C-A4A9-43E1-8EDD-73E7D349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387</xdr:row>
      <xdr:rowOff>75085</xdr:rowOff>
    </xdr:from>
    <xdr:ext cx="2673124" cy="772444"/>
    <xdr:pic>
      <xdr:nvPicPr>
        <xdr:cNvPr id="64" name="Grafik 63">
          <a:extLst>
            <a:ext uri="{FF2B5EF4-FFF2-40B4-BE49-F238E27FC236}">
              <a16:creationId xmlns:a16="http://schemas.microsoft.com/office/drawing/2014/main" id="{215FDC71-2C96-46CD-B07E-EA95388F6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430</xdr:row>
      <xdr:rowOff>75085</xdr:rowOff>
    </xdr:from>
    <xdr:ext cx="2673124" cy="772444"/>
    <xdr:pic>
      <xdr:nvPicPr>
        <xdr:cNvPr id="65" name="Grafik 64">
          <a:extLst>
            <a:ext uri="{FF2B5EF4-FFF2-40B4-BE49-F238E27FC236}">
              <a16:creationId xmlns:a16="http://schemas.microsoft.com/office/drawing/2014/main" id="{F654EAD2-B47A-4D5A-B7E4-37C8E61BE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473</xdr:row>
      <xdr:rowOff>75085</xdr:rowOff>
    </xdr:from>
    <xdr:ext cx="2673124" cy="772444"/>
    <xdr:pic>
      <xdr:nvPicPr>
        <xdr:cNvPr id="66" name="Grafik 65">
          <a:extLst>
            <a:ext uri="{FF2B5EF4-FFF2-40B4-BE49-F238E27FC236}">
              <a16:creationId xmlns:a16="http://schemas.microsoft.com/office/drawing/2014/main" id="{1B4CECCB-D8AD-4813-BA45-F286AA25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516</xdr:row>
      <xdr:rowOff>75085</xdr:rowOff>
    </xdr:from>
    <xdr:ext cx="2673124" cy="772444"/>
    <xdr:pic>
      <xdr:nvPicPr>
        <xdr:cNvPr id="67" name="Grafik 66">
          <a:extLst>
            <a:ext uri="{FF2B5EF4-FFF2-40B4-BE49-F238E27FC236}">
              <a16:creationId xmlns:a16="http://schemas.microsoft.com/office/drawing/2014/main" id="{A25C39CE-FA3F-4C6B-BFD4-B850ECB6E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  <xdr:oneCellAnchor>
    <xdr:from>
      <xdr:col>19</xdr:col>
      <xdr:colOff>424543</xdr:colOff>
      <xdr:row>559</xdr:row>
      <xdr:rowOff>75085</xdr:rowOff>
    </xdr:from>
    <xdr:ext cx="2673124" cy="772444"/>
    <xdr:pic>
      <xdr:nvPicPr>
        <xdr:cNvPr id="68" name="Grafik 67">
          <a:extLst>
            <a:ext uri="{FF2B5EF4-FFF2-40B4-BE49-F238E27FC236}">
              <a16:creationId xmlns:a16="http://schemas.microsoft.com/office/drawing/2014/main" id="{6E22A606-ABA3-43C3-90DC-7EDAB618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0937" y="45245566"/>
          <a:ext cx="2673124" cy="7724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christian.ruppel@continental-corporaion.com" TargetMode="External"/><Relationship Id="rId1" Type="http://schemas.openxmlformats.org/officeDocument/2006/relationships/hyperlink" Target="mailto:dih32212@hs-regensburg.d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4074-E613-4A8D-B8EE-7A26905CD0F6}">
  <sheetPr codeName="Tabelle4"/>
  <dimension ref="A1:K38"/>
  <sheetViews>
    <sheetView view="pageBreakPreview" topLeftCell="A3" zoomScale="145" zoomScaleNormal="100" zoomScaleSheetLayoutView="145" workbookViewId="0">
      <selection activeCell="J34" sqref="J34"/>
    </sheetView>
  </sheetViews>
  <sheetFormatPr baseColWidth="10" defaultColWidth="11.42578125" defaultRowHeight="14.25" x14ac:dyDescent="0.2"/>
  <cols>
    <col min="1" max="1" width="3.42578125" style="1" customWidth="1"/>
    <col min="2" max="2" width="4" style="1" customWidth="1"/>
    <col min="3" max="3" width="4.85546875" style="1" customWidth="1"/>
    <col min="4" max="8" width="11.42578125" style="1"/>
    <col min="9" max="9" width="4.42578125" style="1" customWidth="1"/>
    <col min="10" max="10" width="53.140625" style="1" customWidth="1"/>
    <col min="11" max="11" width="10.7109375" style="1" customWidth="1"/>
    <col min="12" max="16384" width="11.42578125" style="1"/>
  </cols>
  <sheetData>
    <row r="1" spans="1:11" ht="20.25" x14ac:dyDescent="0.3">
      <c r="A1" s="24"/>
      <c r="B1" s="40" t="s">
        <v>0</v>
      </c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5" x14ac:dyDescent="0.25">
      <c r="A3" s="24"/>
      <c r="B3" s="39" t="s">
        <v>1</v>
      </c>
      <c r="C3" s="39"/>
      <c r="D3" s="24"/>
      <c r="E3" s="24"/>
      <c r="F3" s="24"/>
      <c r="G3" s="24"/>
      <c r="H3" s="24"/>
      <c r="I3" s="24"/>
      <c r="J3" s="24"/>
      <c r="K3" s="24"/>
    </row>
    <row r="4" spans="1:11" ht="3.75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2">
      <c r="A5" s="24"/>
      <c r="B5" s="24"/>
      <c r="C5" s="92" t="s">
        <v>2</v>
      </c>
      <c r="D5" s="92"/>
      <c r="E5" s="92"/>
      <c r="F5" s="92"/>
      <c r="G5" s="92"/>
      <c r="H5" s="92"/>
      <c r="I5" s="92"/>
      <c r="J5" s="92"/>
      <c r="K5" s="92"/>
    </row>
    <row r="6" spans="1:11" x14ac:dyDescent="0.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5" x14ac:dyDescent="0.25">
      <c r="A7" s="24"/>
      <c r="B7" s="39" t="s">
        <v>3</v>
      </c>
      <c r="C7" s="24"/>
      <c r="D7" s="24"/>
      <c r="E7" s="24"/>
      <c r="F7" s="24"/>
      <c r="G7" s="24"/>
      <c r="H7" s="24"/>
      <c r="I7" s="24"/>
      <c r="J7" s="24"/>
      <c r="K7" s="24"/>
    </row>
    <row r="8" spans="1:11" ht="4.5" customHeigh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ht="35.25" customHeight="1" x14ac:dyDescent="0.2">
      <c r="A9" s="24"/>
      <c r="B9" s="24"/>
      <c r="C9" s="92" t="s">
        <v>4</v>
      </c>
      <c r="D9" s="92"/>
      <c r="E9" s="92"/>
      <c r="F9" s="92"/>
      <c r="G9" s="92"/>
      <c r="H9" s="92"/>
      <c r="I9" s="92"/>
      <c r="J9" s="92"/>
      <c r="K9" s="92"/>
    </row>
    <row r="10" spans="1:11" x14ac:dyDescent="0.2">
      <c r="A10" s="24"/>
      <c r="B10" s="24"/>
      <c r="C10" s="24"/>
      <c r="D10" s="93" t="s">
        <v>5</v>
      </c>
      <c r="E10" s="93"/>
      <c r="F10" s="93"/>
      <c r="G10" s="93"/>
      <c r="H10" s="93"/>
      <c r="I10" s="93"/>
      <c r="J10" s="93"/>
      <c r="K10" s="93"/>
    </row>
    <row r="11" spans="1:11" x14ac:dyDescent="0.2">
      <c r="A11" s="24"/>
      <c r="B11" s="24"/>
      <c r="C11" s="24"/>
      <c r="D11" s="93" t="s">
        <v>6</v>
      </c>
      <c r="E11" s="93"/>
      <c r="F11" s="93"/>
      <c r="G11" s="93"/>
      <c r="H11" s="93"/>
      <c r="I11" s="93"/>
      <c r="J11" s="93"/>
      <c r="K11" s="93"/>
    </row>
    <row r="12" spans="1:11" x14ac:dyDescent="0.2">
      <c r="A12" s="24"/>
      <c r="B12" s="24"/>
      <c r="C12" s="24"/>
      <c r="D12" s="93" t="s">
        <v>7</v>
      </c>
      <c r="E12" s="93"/>
      <c r="F12" s="93"/>
      <c r="G12" s="93"/>
      <c r="H12" s="93"/>
      <c r="I12" s="93"/>
      <c r="J12" s="93"/>
      <c r="K12" s="93"/>
    </row>
    <row r="13" spans="1:11" x14ac:dyDescent="0.2">
      <c r="A13" s="24"/>
      <c r="B13" s="24"/>
      <c r="C13" s="24"/>
      <c r="D13" s="93" t="s">
        <v>8</v>
      </c>
      <c r="E13" s="93"/>
      <c r="F13" s="93"/>
      <c r="G13" s="93"/>
      <c r="H13" s="93"/>
      <c r="I13" s="93"/>
      <c r="J13" s="93"/>
      <c r="K13" s="93"/>
    </row>
    <row r="14" spans="1:11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 ht="15" x14ac:dyDescent="0.25">
      <c r="A15" s="24"/>
      <c r="B15" s="39" t="s">
        <v>9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2.25" customHeight="1" x14ac:dyDescent="0.2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2">
      <c r="A17" s="24"/>
      <c r="B17" s="24"/>
      <c r="C17" s="92" t="s">
        <v>10</v>
      </c>
      <c r="D17" s="92"/>
      <c r="E17" s="92"/>
      <c r="F17" s="92"/>
      <c r="G17" s="92"/>
      <c r="H17" s="92"/>
      <c r="I17" s="92"/>
      <c r="J17" s="92"/>
      <c r="K17" s="92"/>
    </row>
    <row r="18" spans="1:11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15" x14ac:dyDescent="0.25">
      <c r="A19" s="24"/>
      <c r="B19" s="39" t="s">
        <v>11</v>
      </c>
      <c r="C19" s="24"/>
      <c r="D19" s="24"/>
      <c r="E19" s="24"/>
      <c r="F19" s="24"/>
      <c r="G19" s="24"/>
      <c r="H19" s="24"/>
      <c r="I19" s="24"/>
      <c r="J19" s="24"/>
      <c r="K19" s="24"/>
    </row>
    <row r="20" spans="1:11" ht="5.25" customHeight="1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11" x14ac:dyDescent="0.2">
      <c r="A21" s="24"/>
      <c r="B21" s="24"/>
      <c r="C21" s="92" t="s">
        <v>12</v>
      </c>
      <c r="D21" s="92"/>
      <c r="E21" s="92"/>
      <c r="F21" s="92"/>
      <c r="G21" s="92"/>
      <c r="H21" s="92"/>
      <c r="I21" s="92"/>
      <c r="J21" s="92"/>
      <c r="K21" s="92"/>
    </row>
    <row r="22" spans="1:1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15" x14ac:dyDescent="0.25">
      <c r="A23" s="24"/>
      <c r="B23" s="39" t="s">
        <v>13</v>
      </c>
      <c r="C23" s="24"/>
      <c r="D23" s="24"/>
      <c r="E23" s="24"/>
      <c r="F23" s="24"/>
      <c r="G23" s="24"/>
      <c r="H23" s="24"/>
      <c r="I23" s="24"/>
      <c r="J23" s="24"/>
      <c r="K23" s="24"/>
    </row>
    <row r="24" spans="1:11" ht="5.25" customHeight="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x14ac:dyDescent="0.2">
      <c r="A25" s="24"/>
      <c r="B25" s="24"/>
      <c r="C25" s="92" t="s">
        <v>14</v>
      </c>
      <c r="D25" s="92"/>
      <c r="E25" s="92"/>
      <c r="F25" s="92"/>
      <c r="G25" s="92"/>
      <c r="H25" s="92"/>
      <c r="I25" s="92"/>
      <c r="J25" s="92"/>
      <c r="K25" s="92"/>
    </row>
    <row r="26" spans="1:11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ht="15" x14ac:dyDescent="0.25">
      <c r="A27" s="24"/>
      <c r="B27" s="39" t="s">
        <v>15</v>
      </c>
      <c r="C27" s="24"/>
      <c r="D27" s="24"/>
      <c r="E27" s="24"/>
      <c r="F27" s="24"/>
      <c r="G27" s="24"/>
      <c r="H27" s="24"/>
      <c r="I27" s="24"/>
      <c r="J27" s="24"/>
      <c r="K27" s="24"/>
    </row>
    <row r="28" spans="1:11" ht="3.75" customHeight="1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2">
      <c r="A29" s="24"/>
      <c r="B29" s="24"/>
      <c r="C29" s="92" t="s">
        <v>16</v>
      </c>
      <c r="D29" s="92"/>
      <c r="E29" s="92"/>
      <c r="F29" s="92"/>
      <c r="G29" s="92"/>
      <c r="H29" s="92"/>
      <c r="I29" s="92"/>
      <c r="J29" s="92"/>
      <c r="K29" s="92"/>
    </row>
    <row r="30" spans="1:11" x14ac:dyDescent="0.2">
      <c r="A30" s="24"/>
      <c r="B30" s="24"/>
      <c r="C30" s="24"/>
      <c r="D30" s="91" t="s">
        <v>17</v>
      </c>
      <c r="E30" s="91"/>
      <c r="F30" s="91"/>
      <c r="G30" s="91"/>
      <c r="H30" s="91"/>
      <c r="I30" s="24" t="s">
        <v>18</v>
      </c>
      <c r="J30" s="24" t="s">
        <v>19</v>
      </c>
      <c r="K30" s="24"/>
    </row>
    <row r="31" spans="1:11" x14ac:dyDescent="0.2">
      <c r="A31" s="24"/>
      <c r="B31" s="24"/>
      <c r="C31" s="24"/>
      <c r="D31" s="91" t="s">
        <v>20</v>
      </c>
      <c r="E31" s="91"/>
      <c r="F31" s="91"/>
      <c r="G31" s="91"/>
      <c r="H31" s="91"/>
      <c r="I31" s="24" t="s">
        <v>18</v>
      </c>
      <c r="J31" s="24" t="s">
        <v>21</v>
      </c>
      <c r="K31" s="24"/>
    </row>
    <row r="32" spans="1:11" x14ac:dyDescent="0.2">
      <c r="A32" s="24"/>
      <c r="B32" s="24"/>
      <c r="C32" s="24"/>
      <c r="D32" s="91" t="s">
        <v>22</v>
      </c>
      <c r="E32" s="91"/>
      <c r="F32" s="91"/>
      <c r="G32" s="91"/>
      <c r="H32" s="91"/>
      <c r="I32" s="24" t="s">
        <v>18</v>
      </c>
      <c r="J32" s="24" t="s">
        <v>23</v>
      </c>
      <c r="K32" s="24"/>
    </row>
    <row r="33" spans="1:11" x14ac:dyDescent="0.2">
      <c r="A33" s="24"/>
      <c r="B33" s="24"/>
      <c r="C33" s="24"/>
      <c r="D33" s="91" t="s">
        <v>24</v>
      </c>
      <c r="E33" s="91"/>
      <c r="F33" s="91"/>
      <c r="G33" s="91"/>
      <c r="H33" s="91"/>
      <c r="I33" s="24" t="s">
        <v>18</v>
      </c>
      <c r="J33" s="24" t="s">
        <v>25</v>
      </c>
      <c r="K33" s="24"/>
    </row>
    <row r="34" spans="1:1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x14ac:dyDescent="0.2">
      <c r="A35" s="24"/>
      <c r="B35" s="24"/>
      <c r="C35" s="24"/>
      <c r="D35" s="91" t="s">
        <v>26</v>
      </c>
      <c r="E35" s="91"/>
      <c r="F35" s="91"/>
      <c r="G35" s="91"/>
      <c r="H35" s="91"/>
      <c r="I35" s="24"/>
      <c r="J35" s="24"/>
      <c r="K35" s="24"/>
    </row>
    <row r="36" spans="1:1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</sheetData>
  <sheetProtection algorithmName="SHA-512" hashValue="H3zzeaCHGqL3WdePPLLKQW+BJ3lbuOAt62/H95eDA8GKxOUpqr2eke8qXcB6oxUlAF1dNBa4UicNq7oRCNF5UQ==" saltValue="FZEAQnQ5D2ixNdi3AIGsxg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15">
    <mergeCell ref="D13:K13"/>
    <mergeCell ref="C5:K5"/>
    <mergeCell ref="C9:K9"/>
    <mergeCell ref="D10:K10"/>
    <mergeCell ref="D11:K11"/>
    <mergeCell ref="D12:K12"/>
    <mergeCell ref="D32:H32"/>
    <mergeCell ref="D33:H33"/>
    <mergeCell ref="D35:H35"/>
    <mergeCell ref="C17:K17"/>
    <mergeCell ref="C21:K21"/>
    <mergeCell ref="C25:K25"/>
    <mergeCell ref="C29:K29"/>
    <mergeCell ref="D30:H30"/>
    <mergeCell ref="D31:H31"/>
  </mergeCells>
  <pageMargins left="0.7" right="0.7" top="0.78740157499999996" bottom="0.78740157499999996" header="0.3" footer="0.3"/>
  <pageSetup paperSize="9" scale="63" orientation="portrait" horizontalDpi="300" r:id="rId1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324A-8C81-4893-9DB6-63705E4F30FD}">
  <sheetPr codeName="Tabelle3"/>
  <dimension ref="A1:O58"/>
  <sheetViews>
    <sheetView view="pageBreakPreview" topLeftCell="A29" zoomScale="145" zoomScaleNormal="175" zoomScaleSheetLayoutView="145" workbookViewId="0">
      <selection activeCell="B49" sqref="B49:G49"/>
    </sheetView>
  </sheetViews>
  <sheetFormatPr baseColWidth="10" defaultColWidth="7.42578125" defaultRowHeight="14.25" x14ac:dyDescent="0.2"/>
  <cols>
    <col min="1" max="1" width="2.42578125" style="1" customWidth="1"/>
    <col min="2" max="3" width="7.42578125" style="1"/>
    <col min="4" max="4" width="11.28515625" style="1" bestFit="1" customWidth="1"/>
    <col min="5" max="16384" width="7.42578125" style="1"/>
  </cols>
  <sheetData>
    <row r="1" spans="1:15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">
      <c r="A2" s="24"/>
      <c r="B2" s="95" t="s">
        <v>27</v>
      </c>
      <c r="C2" s="95"/>
      <c r="D2" s="95"/>
      <c r="E2" s="95"/>
      <c r="F2" s="95"/>
      <c r="G2" s="95"/>
      <c r="H2" s="24"/>
      <c r="I2" s="24"/>
      <c r="J2" s="24"/>
      <c r="K2" s="24"/>
      <c r="L2" s="24"/>
      <c r="M2" s="24"/>
      <c r="N2" s="24"/>
      <c r="O2" s="24"/>
    </row>
    <row r="3" spans="1:15" ht="8.25" customHeight="1" x14ac:dyDescent="0.2">
      <c r="A3" s="24"/>
      <c r="B3" s="28" t="s">
        <v>28</v>
      </c>
      <c r="C3" s="28"/>
      <c r="D3" s="28"/>
      <c r="E3" s="28"/>
      <c r="F3" s="28"/>
      <c r="G3" s="28"/>
      <c r="H3" s="24"/>
      <c r="I3" s="24"/>
      <c r="J3" s="24"/>
      <c r="K3" s="24"/>
      <c r="L3" s="24"/>
      <c r="M3" s="24"/>
      <c r="N3" s="24"/>
      <c r="O3" s="24"/>
    </row>
    <row r="4" spans="1:15" ht="8.25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x14ac:dyDescent="0.2">
      <c r="A5" s="24"/>
      <c r="B5" s="95" t="s">
        <v>29</v>
      </c>
      <c r="C5" s="95"/>
      <c r="D5" s="95"/>
      <c r="E5" s="95"/>
      <c r="F5" s="95"/>
      <c r="G5" s="95"/>
      <c r="H5" s="26"/>
      <c r="I5" s="95" t="s">
        <v>30</v>
      </c>
      <c r="J5" s="95"/>
      <c r="K5" s="95"/>
      <c r="L5" s="95"/>
      <c r="M5" s="95"/>
      <c r="N5" s="95"/>
      <c r="O5" s="24"/>
    </row>
    <row r="6" spans="1:15" ht="7.5" customHeight="1" x14ac:dyDescent="0.2">
      <c r="A6" s="24"/>
      <c r="B6" s="28" t="s">
        <v>31</v>
      </c>
      <c r="C6" s="28"/>
      <c r="D6" s="28"/>
      <c r="E6" s="28"/>
      <c r="F6" s="28"/>
      <c r="G6" s="28"/>
      <c r="H6" s="28"/>
      <c r="I6" s="28" t="s">
        <v>32</v>
      </c>
      <c r="J6" s="26"/>
      <c r="K6" s="26"/>
      <c r="L6" s="26"/>
      <c r="M6" s="26"/>
      <c r="N6" s="26"/>
      <c r="O6" s="24"/>
    </row>
    <row r="7" spans="1:15" ht="7.5" customHeight="1" x14ac:dyDescent="0.2">
      <c r="A7" s="24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4"/>
    </row>
    <row r="8" spans="1:15" x14ac:dyDescent="0.2">
      <c r="A8" s="24"/>
      <c r="B8" s="95" t="s">
        <v>33</v>
      </c>
      <c r="C8" s="95"/>
      <c r="D8" s="95"/>
      <c r="E8" s="95"/>
      <c r="F8" s="95"/>
      <c r="G8" s="95"/>
      <c r="H8" s="26"/>
      <c r="I8" s="95" t="s">
        <v>27</v>
      </c>
      <c r="J8" s="95"/>
      <c r="K8" s="95"/>
      <c r="L8" s="95"/>
      <c r="M8" s="95"/>
      <c r="N8" s="95"/>
      <c r="O8" s="24"/>
    </row>
    <row r="9" spans="1:15" ht="7.5" customHeight="1" x14ac:dyDescent="0.2">
      <c r="A9" s="24"/>
      <c r="B9" s="28" t="s">
        <v>34</v>
      </c>
      <c r="C9" s="28"/>
      <c r="D9" s="28"/>
      <c r="E9" s="28"/>
      <c r="F9" s="28"/>
      <c r="G9" s="28"/>
      <c r="H9" s="28"/>
      <c r="I9" s="28" t="s">
        <v>35</v>
      </c>
      <c r="J9" s="26"/>
      <c r="K9" s="26"/>
      <c r="L9" s="26"/>
      <c r="M9" s="26"/>
      <c r="N9" s="26"/>
      <c r="O9" s="24"/>
    </row>
    <row r="10" spans="1:15" ht="7.5" customHeight="1" x14ac:dyDescent="0.2">
      <c r="A10" s="2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4"/>
    </row>
    <row r="11" spans="1:15" x14ac:dyDescent="0.2">
      <c r="A11" s="24"/>
      <c r="B11" s="95" t="s">
        <v>36</v>
      </c>
      <c r="C11" s="95"/>
      <c r="D11" s="95"/>
      <c r="E11" s="95"/>
      <c r="F11" s="95"/>
      <c r="G11" s="95"/>
      <c r="H11" s="26"/>
      <c r="I11" s="95" t="s">
        <v>37</v>
      </c>
      <c r="J11" s="95"/>
      <c r="K11" s="95"/>
      <c r="L11" s="95"/>
      <c r="M11" s="95"/>
      <c r="N11" s="95"/>
      <c r="O11" s="24"/>
    </row>
    <row r="12" spans="1:15" ht="7.5" customHeight="1" x14ac:dyDescent="0.2">
      <c r="A12" s="24"/>
      <c r="B12" s="28" t="s">
        <v>38</v>
      </c>
      <c r="C12" s="28"/>
      <c r="D12" s="28"/>
      <c r="E12" s="28"/>
      <c r="F12" s="28"/>
      <c r="G12" s="28"/>
      <c r="H12" s="28"/>
      <c r="I12" s="28" t="s">
        <v>39</v>
      </c>
      <c r="J12" s="28"/>
      <c r="K12" s="28"/>
      <c r="L12" s="28"/>
      <c r="M12" s="28"/>
      <c r="N12" s="28"/>
      <c r="O12" s="24"/>
    </row>
    <row r="13" spans="1:15" ht="6.75" customHeight="1" x14ac:dyDescent="0.2">
      <c r="A13" s="24"/>
      <c r="B13" s="26"/>
      <c r="C13" s="26"/>
      <c r="D13" s="26"/>
      <c r="E13" s="26"/>
      <c r="F13" s="26"/>
      <c r="G13" s="26"/>
      <c r="H13" s="26"/>
      <c r="I13" s="24"/>
      <c r="J13" s="24"/>
      <c r="K13" s="24"/>
      <c r="L13" s="24"/>
      <c r="M13" s="24"/>
      <c r="N13" s="24"/>
      <c r="O13" s="24"/>
    </row>
    <row r="14" spans="1:15" x14ac:dyDescent="0.2">
      <c r="A14" s="24"/>
      <c r="B14" s="95">
        <v>3315035</v>
      </c>
      <c r="C14" s="95"/>
      <c r="D14" s="95"/>
      <c r="E14" s="95"/>
      <c r="F14" s="95"/>
      <c r="G14" s="95"/>
      <c r="H14" s="26"/>
      <c r="I14" s="95" t="s">
        <v>40</v>
      </c>
      <c r="J14" s="95"/>
      <c r="K14" s="95"/>
      <c r="L14" s="95"/>
      <c r="M14" s="95"/>
      <c r="N14" s="95"/>
      <c r="O14" s="24"/>
    </row>
    <row r="15" spans="1:15" ht="7.5" customHeight="1" x14ac:dyDescent="0.2">
      <c r="A15" s="24"/>
      <c r="B15" s="28" t="s">
        <v>41</v>
      </c>
      <c r="C15" s="28"/>
      <c r="D15" s="28"/>
      <c r="E15" s="28"/>
      <c r="F15" s="28"/>
      <c r="G15" s="28"/>
      <c r="H15" s="28"/>
      <c r="I15" s="28" t="s">
        <v>42</v>
      </c>
      <c r="J15" s="28"/>
      <c r="K15" s="28"/>
      <c r="L15" s="28"/>
      <c r="M15" s="28"/>
      <c r="N15" s="28"/>
      <c r="O15" s="24"/>
    </row>
    <row r="16" spans="1:15" ht="7.5" customHeight="1" x14ac:dyDescent="0.2">
      <c r="A16" s="24"/>
      <c r="B16" s="28"/>
      <c r="C16" s="28"/>
      <c r="D16" s="28"/>
      <c r="E16" s="28"/>
      <c r="F16" s="28"/>
      <c r="G16" s="28"/>
      <c r="H16" s="28"/>
      <c r="I16" s="28"/>
      <c r="J16" s="26"/>
      <c r="K16" s="26"/>
      <c r="L16" s="26"/>
      <c r="M16" s="26"/>
      <c r="N16" s="26"/>
      <c r="O16" s="24"/>
    </row>
    <row r="17" spans="1:15" ht="15" x14ac:dyDescent="0.25">
      <c r="A17" s="24"/>
      <c r="B17" s="94" t="s">
        <v>43</v>
      </c>
      <c r="C17" s="95"/>
      <c r="D17" s="95"/>
      <c r="E17" s="95"/>
      <c r="F17" s="95"/>
      <c r="G17" s="95"/>
      <c r="H17" s="28"/>
      <c r="I17" s="95" t="s">
        <v>44</v>
      </c>
      <c r="J17" s="95"/>
      <c r="K17" s="95"/>
      <c r="L17" s="95"/>
      <c r="M17" s="95"/>
      <c r="N17" s="95"/>
      <c r="O17" s="24"/>
    </row>
    <row r="18" spans="1:15" ht="7.5" customHeight="1" x14ac:dyDescent="0.2">
      <c r="A18" s="24"/>
      <c r="B18" s="28" t="s">
        <v>45</v>
      </c>
      <c r="C18" s="28"/>
      <c r="D18" s="28"/>
      <c r="E18" s="28"/>
      <c r="F18" s="28"/>
      <c r="G18" s="28"/>
      <c r="H18" s="26"/>
      <c r="I18" s="28" t="s">
        <v>46</v>
      </c>
      <c r="J18" s="26"/>
      <c r="K18" s="26"/>
      <c r="L18" s="26"/>
      <c r="M18" s="26"/>
      <c r="N18" s="26"/>
      <c r="O18" s="24"/>
    </row>
    <row r="19" spans="1:15" ht="7.5" customHeight="1" x14ac:dyDescent="0.2">
      <c r="A19" s="2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4"/>
    </row>
    <row r="20" spans="1:15" ht="15" x14ac:dyDescent="0.25">
      <c r="A20" s="24"/>
      <c r="B20" s="96">
        <v>45901</v>
      </c>
      <c r="C20" s="95"/>
      <c r="D20" s="95"/>
      <c r="E20" s="95"/>
      <c r="F20" s="95"/>
      <c r="G20" s="95"/>
      <c r="H20" s="26"/>
      <c r="I20" s="94" t="s">
        <v>47</v>
      </c>
      <c r="J20" s="95"/>
      <c r="K20" s="95"/>
      <c r="L20" s="95"/>
      <c r="M20" s="95"/>
      <c r="N20" s="95"/>
      <c r="O20" s="24"/>
    </row>
    <row r="21" spans="1:15" ht="7.5" customHeight="1" x14ac:dyDescent="0.2">
      <c r="A21" s="24"/>
      <c r="B21" s="28" t="s">
        <v>48</v>
      </c>
      <c r="C21" s="28"/>
      <c r="D21" s="28"/>
      <c r="E21" s="28"/>
      <c r="F21" s="28"/>
      <c r="G21" s="28"/>
      <c r="H21" s="26"/>
      <c r="I21" s="28" t="s">
        <v>49</v>
      </c>
      <c r="J21" s="26"/>
      <c r="K21" s="26"/>
      <c r="L21" s="26"/>
      <c r="M21" s="26"/>
      <c r="N21" s="26"/>
      <c r="O21" s="24"/>
    </row>
    <row r="22" spans="1:15" ht="7.5" customHeight="1" x14ac:dyDescent="0.2">
      <c r="A22" s="2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4"/>
    </row>
    <row r="23" spans="1:15" x14ac:dyDescent="0.2">
      <c r="A23" s="24"/>
      <c r="B23" s="96">
        <v>45673</v>
      </c>
      <c r="C23" s="95"/>
      <c r="D23" s="95"/>
      <c r="E23" s="95"/>
      <c r="F23" s="95"/>
      <c r="G23" s="95"/>
      <c r="H23" s="26"/>
      <c r="I23" s="97" t="s">
        <v>50</v>
      </c>
      <c r="J23" s="97"/>
      <c r="K23" s="97"/>
      <c r="L23" s="97"/>
      <c r="M23" s="97"/>
      <c r="N23" s="97"/>
      <c r="O23" s="24"/>
    </row>
    <row r="24" spans="1:15" ht="7.5" customHeight="1" x14ac:dyDescent="0.2">
      <c r="A24" s="24"/>
      <c r="B24" s="28" t="s">
        <v>51</v>
      </c>
      <c r="C24" s="28"/>
      <c r="D24" s="28"/>
      <c r="E24" s="28"/>
      <c r="F24" s="28"/>
      <c r="G24" s="28"/>
      <c r="H24" s="26"/>
      <c r="I24" s="28" t="s">
        <v>52</v>
      </c>
      <c r="J24" s="26"/>
      <c r="K24" s="26"/>
      <c r="L24" s="26"/>
      <c r="M24" s="26"/>
      <c r="N24" s="26"/>
      <c r="O24" s="24"/>
    </row>
    <row r="25" spans="1:15" ht="7.5" customHeight="1" x14ac:dyDescent="0.2">
      <c r="A25" s="24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4"/>
    </row>
    <row r="26" spans="1:15" x14ac:dyDescent="0.2">
      <c r="A26" s="24"/>
      <c r="B26" s="41" t="s">
        <v>53</v>
      </c>
      <c r="C26" s="26"/>
      <c r="D26" s="26"/>
      <c r="E26" s="26"/>
      <c r="F26" s="26"/>
      <c r="G26" s="26"/>
      <c r="H26" s="26"/>
      <c r="I26" s="95" t="s">
        <v>54</v>
      </c>
      <c r="J26" s="95"/>
      <c r="K26" s="95"/>
      <c r="L26" s="95"/>
      <c r="M26" s="26"/>
      <c r="N26" s="49">
        <v>12</v>
      </c>
      <c r="O26" s="24"/>
    </row>
    <row r="27" spans="1:15" ht="7.5" customHeight="1" x14ac:dyDescent="0.2">
      <c r="A27" s="24"/>
      <c r="B27" s="28" t="s">
        <v>55</v>
      </c>
      <c r="C27" s="28"/>
      <c r="D27" s="28"/>
      <c r="E27" s="28"/>
      <c r="F27" s="28"/>
      <c r="G27" s="28"/>
      <c r="H27" s="26"/>
      <c r="I27" s="28" t="s">
        <v>56</v>
      </c>
      <c r="J27" s="26"/>
      <c r="K27" s="26"/>
      <c r="L27" s="26"/>
      <c r="M27" s="26"/>
      <c r="N27" s="28" t="s">
        <v>57</v>
      </c>
      <c r="O27" s="24"/>
    </row>
    <row r="28" spans="1:15" ht="7.5" customHeight="1" x14ac:dyDescent="0.2">
      <c r="A28" s="24"/>
      <c r="B28" s="28" t="s">
        <v>58</v>
      </c>
      <c r="C28" s="28"/>
      <c r="D28" s="28"/>
      <c r="E28" s="28"/>
      <c r="F28" s="28"/>
      <c r="G28" s="28"/>
      <c r="H28" s="26"/>
      <c r="I28" s="26"/>
      <c r="J28" s="26"/>
      <c r="K28" s="26"/>
      <c r="L28" s="26"/>
      <c r="M28" s="26"/>
      <c r="N28" s="26"/>
      <c r="O28" s="24"/>
    </row>
    <row r="29" spans="1:15" x14ac:dyDescent="0.2">
      <c r="A29" s="24"/>
      <c r="B29" s="28"/>
      <c r="C29" s="28"/>
      <c r="D29" s="28"/>
      <c r="E29" s="28"/>
      <c r="F29" s="28"/>
      <c r="G29" s="28"/>
      <c r="H29" s="26"/>
      <c r="I29" s="95">
        <v>93055</v>
      </c>
      <c r="J29" s="95"/>
      <c r="K29" s="26"/>
      <c r="L29" s="95" t="s">
        <v>59</v>
      </c>
      <c r="M29" s="95"/>
      <c r="N29" s="95"/>
      <c r="O29" s="24"/>
    </row>
    <row r="30" spans="1:15" ht="7.5" customHeight="1" x14ac:dyDescent="0.2">
      <c r="A30" s="24"/>
      <c r="B30" s="28"/>
      <c r="C30" s="28"/>
      <c r="D30" s="28"/>
      <c r="E30" s="28"/>
      <c r="F30" s="28"/>
      <c r="G30" s="28"/>
      <c r="H30" s="26"/>
      <c r="I30" s="28" t="s">
        <v>60</v>
      </c>
      <c r="J30" s="26"/>
      <c r="K30" s="26"/>
      <c r="L30" s="28" t="s">
        <v>61</v>
      </c>
      <c r="M30" s="26"/>
      <c r="N30" s="26"/>
      <c r="O30" s="24"/>
    </row>
    <row r="31" spans="1:15" ht="7.5" customHeight="1" x14ac:dyDescent="0.2">
      <c r="A31" s="24"/>
      <c r="B31" s="28"/>
      <c r="C31" s="28"/>
      <c r="D31" s="28"/>
      <c r="E31" s="28"/>
      <c r="F31" s="28"/>
      <c r="G31" s="28"/>
      <c r="H31" s="26"/>
      <c r="I31" s="26"/>
      <c r="J31" s="26"/>
      <c r="K31" s="26"/>
      <c r="L31" s="26"/>
      <c r="M31" s="26"/>
      <c r="N31" s="26"/>
      <c r="O31" s="24"/>
    </row>
    <row r="32" spans="1:15" x14ac:dyDescent="0.2">
      <c r="A32" s="24"/>
      <c r="B32" s="49">
        <v>35</v>
      </c>
      <c r="C32" s="28" t="s">
        <v>62</v>
      </c>
      <c r="D32" s="24"/>
      <c r="E32" s="28"/>
      <c r="F32" s="28"/>
      <c r="G32" s="28"/>
      <c r="H32" s="26"/>
      <c r="I32" s="95" t="s">
        <v>63</v>
      </c>
      <c r="J32" s="95"/>
      <c r="K32" s="95"/>
      <c r="L32" s="95"/>
      <c r="M32" s="95"/>
      <c r="N32" s="95"/>
      <c r="O32" s="24"/>
    </row>
    <row r="33" spans="1:15" ht="7.5" customHeight="1" x14ac:dyDescent="0.2">
      <c r="A33" s="24"/>
      <c r="B33" s="28" t="s">
        <v>64</v>
      </c>
      <c r="C33" s="28"/>
      <c r="D33" s="28"/>
      <c r="E33" s="28"/>
      <c r="F33" s="28"/>
      <c r="G33" s="28"/>
      <c r="H33" s="26"/>
      <c r="I33" s="28" t="s">
        <v>65</v>
      </c>
      <c r="J33" s="26"/>
      <c r="K33" s="26"/>
      <c r="L33" s="26"/>
      <c r="M33" s="26"/>
      <c r="N33" s="26"/>
      <c r="O33" s="24"/>
    </row>
    <row r="34" spans="1:15" ht="7.5" customHeight="1" x14ac:dyDescent="0.2">
      <c r="A34" s="24"/>
      <c r="B34" s="28" t="s">
        <v>66</v>
      </c>
      <c r="C34" s="28"/>
      <c r="D34" s="28"/>
      <c r="E34" s="28"/>
      <c r="F34" s="28"/>
      <c r="G34" s="28"/>
      <c r="H34" s="26"/>
      <c r="I34" s="26"/>
      <c r="J34" s="26"/>
      <c r="K34" s="26"/>
      <c r="L34" s="26"/>
      <c r="M34" s="26"/>
      <c r="N34" s="26"/>
      <c r="O34" s="24"/>
    </row>
    <row r="35" spans="1:15" ht="7.5" customHeight="1" x14ac:dyDescent="0.2">
      <c r="A35" s="24"/>
      <c r="B35" s="28"/>
      <c r="C35" s="28"/>
      <c r="D35" s="28"/>
      <c r="E35" s="28"/>
      <c r="F35" s="28"/>
      <c r="G35" s="28"/>
      <c r="H35" s="26"/>
      <c r="I35" s="26"/>
      <c r="J35" s="26"/>
      <c r="K35" s="26"/>
      <c r="L35" s="26"/>
      <c r="M35" s="26"/>
      <c r="N35" s="26"/>
      <c r="O35" s="24"/>
    </row>
    <row r="36" spans="1:15" ht="7.5" customHeight="1" x14ac:dyDescent="0.2">
      <c r="A36" s="24"/>
      <c r="B36" s="28"/>
      <c r="C36" s="28"/>
      <c r="D36" s="28"/>
      <c r="E36" s="28"/>
      <c r="F36" s="28"/>
      <c r="G36" s="28"/>
      <c r="H36" s="26"/>
      <c r="I36" s="26"/>
      <c r="J36" s="26"/>
      <c r="K36" s="26"/>
      <c r="L36" s="26"/>
      <c r="M36" s="26"/>
      <c r="N36" s="26"/>
      <c r="O36" s="24"/>
    </row>
    <row r="37" spans="1:15" ht="14.25" customHeight="1" x14ac:dyDescent="0.2">
      <c r="A37" s="24"/>
      <c r="B37" s="95" t="s">
        <v>67</v>
      </c>
      <c r="C37" s="95"/>
      <c r="D37" s="95"/>
      <c r="E37" s="95"/>
      <c r="F37" s="95"/>
      <c r="G37" s="95"/>
      <c r="H37" s="26"/>
      <c r="I37" s="95" t="s">
        <v>68</v>
      </c>
      <c r="J37" s="95"/>
      <c r="K37" s="95"/>
      <c r="L37" s="95"/>
      <c r="M37" s="95"/>
      <c r="N37" s="95"/>
      <c r="O37" s="24"/>
    </row>
    <row r="38" spans="1:15" ht="7.5" customHeight="1" x14ac:dyDescent="0.2">
      <c r="A38" s="24"/>
      <c r="B38" s="28" t="s">
        <v>69</v>
      </c>
      <c r="C38" s="28"/>
      <c r="D38" s="28"/>
      <c r="E38" s="28"/>
      <c r="F38" s="28"/>
      <c r="G38" s="28"/>
      <c r="H38" s="26"/>
      <c r="I38" s="28" t="s">
        <v>70</v>
      </c>
      <c r="J38" s="26"/>
      <c r="K38" s="26"/>
      <c r="L38" s="26"/>
      <c r="M38" s="26"/>
      <c r="N38" s="26"/>
      <c r="O38" s="24"/>
    </row>
    <row r="39" spans="1:15" ht="7.5" customHeight="1" x14ac:dyDescent="0.2">
      <c r="A39" s="24"/>
      <c r="B39" s="28"/>
      <c r="C39" s="28"/>
      <c r="D39" s="28"/>
      <c r="E39" s="28"/>
      <c r="F39" s="28"/>
      <c r="G39" s="28"/>
      <c r="H39" s="26"/>
      <c r="I39" s="26"/>
      <c r="J39" s="26"/>
      <c r="K39" s="26"/>
      <c r="L39" s="26"/>
      <c r="M39" s="26"/>
      <c r="N39" s="26"/>
      <c r="O39" s="24"/>
    </row>
    <row r="40" spans="1:15" ht="14.25" customHeight="1" x14ac:dyDescent="0.2">
      <c r="A40" s="24"/>
      <c r="B40" s="95" t="s">
        <v>67</v>
      </c>
      <c r="C40" s="95"/>
      <c r="D40" s="95"/>
      <c r="E40" s="95"/>
      <c r="F40" s="95"/>
      <c r="G40" s="95"/>
      <c r="H40" s="26"/>
      <c r="I40" s="26"/>
      <c r="J40" s="26"/>
      <c r="K40" s="26"/>
      <c r="L40" s="26"/>
      <c r="M40" s="26"/>
      <c r="N40" s="26"/>
      <c r="O40" s="24"/>
    </row>
    <row r="41" spans="1:15" ht="7.5" customHeight="1" x14ac:dyDescent="0.2">
      <c r="A41" s="24"/>
      <c r="B41" s="28" t="s">
        <v>71</v>
      </c>
      <c r="C41" s="28"/>
      <c r="D41" s="28"/>
      <c r="E41" s="28"/>
      <c r="F41" s="28"/>
      <c r="G41" s="28"/>
      <c r="H41" s="26"/>
      <c r="I41" s="26"/>
      <c r="J41" s="26"/>
      <c r="K41" s="26"/>
      <c r="L41" s="26"/>
      <c r="M41" s="26"/>
      <c r="N41" s="26"/>
      <c r="O41" s="24"/>
    </row>
    <row r="42" spans="1:15" ht="8.25" customHeight="1" x14ac:dyDescent="0.2">
      <c r="A42" s="24"/>
      <c r="B42" s="28"/>
      <c r="C42" s="28"/>
      <c r="D42" s="28"/>
      <c r="E42" s="28"/>
      <c r="F42" s="28"/>
      <c r="G42" s="28"/>
      <c r="H42" s="26"/>
      <c r="I42" s="26"/>
      <c r="J42" s="26"/>
      <c r="K42" s="26"/>
      <c r="L42" s="26"/>
      <c r="M42" s="26"/>
      <c r="N42" s="26"/>
      <c r="O42" s="24"/>
    </row>
    <row r="43" spans="1:15" ht="14.25" customHeight="1" x14ac:dyDescent="0.2">
      <c r="A43" s="24"/>
      <c r="B43" s="95" t="s">
        <v>67</v>
      </c>
      <c r="C43" s="95"/>
      <c r="D43" s="95"/>
      <c r="E43" s="95"/>
      <c r="F43" s="95"/>
      <c r="G43" s="95"/>
      <c r="H43" s="26"/>
      <c r="I43" s="26"/>
      <c r="J43" s="26"/>
      <c r="K43" s="26"/>
      <c r="L43" s="26"/>
      <c r="M43" s="26"/>
      <c r="N43" s="26"/>
      <c r="O43" s="24"/>
    </row>
    <row r="44" spans="1:15" ht="7.5" customHeight="1" x14ac:dyDescent="0.2">
      <c r="A44" s="24"/>
      <c r="B44" s="28" t="s">
        <v>73</v>
      </c>
      <c r="C44" s="28"/>
      <c r="D44" s="28"/>
      <c r="E44" s="28"/>
      <c r="F44" s="28"/>
      <c r="G44" s="28"/>
      <c r="H44" s="26"/>
      <c r="I44" s="26"/>
      <c r="J44" s="26"/>
      <c r="K44" s="26"/>
      <c r="L44" s="26"/>
      <c r="M44" s="26"/>
      <c r="N44" s="26"/>
      <c r="O44" s="24"/>
    </row>
    <row r="45" spans="1:15" ht="7.5" customHeight="1" x14ac:dyDescent="0.2">
      <c r="A45" s="24"/>
      <c r="B45" s="28"/>
      <c r="C45" s="28"/>
      <c r="D45" s="28"/>
      <c r="E45" s="28"/>
      <c r="F45" s="28"/>
      <c r="G45" s="28"/>
      <c r="H45" s="26"/>
      <c r="I45" s="26"/>
      <c r="J45" s="26"/>
      <c r="K45" s="26"/>
      <c r="L45" s="26"/>
      <c r="M45" s="26"/>
      <c r="N45" s="26"/>
      <c r="O45" s="24"/>
    </row>
    <row r="46" spans="1:15" ht="14.25" customHeight="1" x14ac:dyDescent="0.2">
      <c r="A46" s="24"/>
      <c r="B46" s="95" t="s">
        <v>67</v>
      </c>
      <c r="C46" s="95"/>
      <c r="D46" s="95"/>
      <c r="E46" s="95"/>
      <c r="F46" s="95"/>
      <c r="G46" s="95"/>
      <c r="H46" s="26"/>
      <c r="I46" s="26"/>
      <c r="J46" s="26"/>
      <c r="K46" s="26"/>
      <c r="L46" s="26"/>
      <c r="M46" s="26"/>
      <c r="N46" s="26"/>
      <c r="O46" s="24"/>
    </row>
    <row r="47" spans="1:15" ht="7.5" customHeight="1" x14ac:dyDescent="0.2">
      <c r="A47" s="24"/>
      <c r="B47" s="28" t="s">
        <v>74</v>
      </c>
      <c r="C47" s="28"/>
      <c r="D47" s="28"/>
      <c r="E47" s="28"/>
      <c r="F47" s="28"/>
      <c r="G47" s="28"/>
      <c r="H47" s="26"/>
      <c r="I47" s="26"/>
      <c r="J47" s="26"/>
      <c r="K47" s="26"/>
      <c r="L47" s="26"/>
      <c r="M47" s="26"/>
      <c r="N47" s="26"/>
      <c r="O47" s="24"/>
    </row>
    <row r="48" spans="1:15" ht="7.5" customHeight="1" x14ac:dyDescent="0.2">
      <c r="A48" s="24"/>
      <c r="B48" s="28"/>
      <c r="C48" s="28"/>
      <c r="D48" s="28"/>
      <c r="E48" s="28"/>
      <c r="F48" s="28"/>
      <c r="G48" s="28"/>
      <c r="H48" s="26"/>
      <c r="I48" s="26"/>
      <c r="J48" s="26"/>
      <c r="K48" s="26"/>
      <c r="L48" s="26"/>
      <c r="M48" s="26"/>
      <c r="N48" s="26"/>
      <c r="O48" s="24"/>
    </row>
    <row r="49" spans="1:15" ht="14.25" customHeight="1" x14ac:dyDescent="0.2">
      <c r="A49" s="24"/>
      <c r="B49" s="95"/>
      <c r="C49" s="95"/>
      <c r="D49" s="95"/>
      <c r="E49" s="95"/>
      <c r="F49" s="95"/>
      <c r="G49" s="95"/>
      <c r="H49" s="26"/>
      <c r="I49" s="26"/>
      <c r="J49" s="26"/>
      <c r="K49" s="26"/>
      <c r="L49" s="26"/>
      <c r="M49" s="26"/>
      <c r="N49" s="26"/>
      <c r="O49" s="24"/>
    </row>
    <row r="50" spans="1:15" ht="7.5" customHeight="1" x14ac:dyDescent="0.2">
      <c r="A50" s="24"/>
      <c r="B50" s="28" t="s">
        <v>75</v>
      </c>
      <c r="C50" s="28"/>
      <c r="D50" s="28"/>
      <c r="E50" s="28"/>
      <c r="F50" s="28"/>
      <c r="G50" s="28"/>
      <c r="H50" s="26"/>
      <c r="I50" s="26"/>
      <c r="J50" s="26"/>
      <c r="K50" s="26"/>
      <c r="L50" s="26"/>
      <c r="M50" s="26"/>
      <c r="N50" s="26"/>
      <c r="O50" s="24"/>
    </row>
    <row r="51" spans="1:15" ht="7.5" customHeight="1" x14ac:dyDescent="0.2">
      <c r="A51" s="24"/>
      <c r="B51" s="28"/>
      <c r="C51" s="28"/>
      <c r="D51" s="28"/>
      <c r="E51" s="28"/>
      <c r="F51" s="28"/>
      <c r="G51" s="28"/>
      <c r="H51" s="26"/>
      <c r="I51" s="26"/>
      <c r="J51" s="26"/>
      <c r="K51" s="26"/>
      <c r="L51" s="26"/>
      <c r="M51" s="26"/>
      <c r="N51" s="26"/>
      <c r="O51" s="24"/>
    </row>
    <row r="52" spans="1:15" ht="7.5" customHeight="1" x14ac:dyDescent="0.2">
      <c r="A52" s="24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4"/>
    </row>
    <row r="53" spans="1:15" x14ac:dyDescent="0.2">
      <c r="A53" s="24"/>
      <c r="B53" s="29" t="s">
        <v>76</v>
      </c>
      <c r="C53" s="30" t="s">
        <v>77</v>
      </c>
      <c r="D53" s="31">
        <v>44252</v>
      </c>
      <c r="E53" s="30"/>
      <c r="F53" s="30"/>
      <c r="G53" s="30"/>
      <c r="H53" s="30"/>
      <c r="I53" s="30"/>
      <c r="J53" s="30"/>
      <c r="K53" s="30"/>
      <c r="L53" s="30"/>
      <c r="M53" s="30"/>
      <c r="N53" s="32"/>
      <c r="O53" s="24"/>
    </row>
    <row r="54" spans="1:15" x14ac:dyDescent="0.2">
      <c r="A54" s="24"/>
      <c r="B54" s="33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34"/>
      <c r="O54" s="24"/>
    </row>
    <row r="55" spans="1:15" x14ac:dyDescent="0.2">
      <c r="A55" s="24"/>
      <c r="B55" s="35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36"/>
      <c r="O55" s="24"/>
    </row>
    <row r="56" spans="1:15" x14ac:dyDescent="0.2">
      <c r="A56" s="24"/>
      <c r="B56" s="37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38"/>
      <c r="O56" s="24"/>
    </row>
    <row r="57" spans="1:15" x14ac:dyDescent="0.2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</sheetData>
  <sheetProtection algorithmName="SHA-512" hashValue="QuD/Q5PkfkUza+UOMOpkuMljzcC7SnWf8G+CGhROI0GqaI90cWetg/Iu6jicyDS+Oz24JSGOZJxlIbqP7ICZzw==" saltValue="TFVgzQvRtJcHn/9OrAWO5A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25">
    <mergeCell ref="B20:G20"/>
    <mergeCell ref="B23:G23"/>
    <mergeCell ref="I20:N20"/>
    <mergeCell ref="I23:N23"/>
    <mergeCell ref="B49:G49"/>
    <mergeCell ref="I32:N32"/>
    <mergeCell ref="I29:J29"/>
    <mergeCell ref="I26:L26"/>
    <mergeCell ref="L29:N29"/>
    <mergeCell ref="I37:N37"/>
    <mergeCell ref="B37:G37"/>
    <mergeCell ref="B40:G40"/>
    <mergeCell ref="B43:G43"/>
    <mergeCell ref="B46:G46"/>
    <mergeCell ref="B17:G17"/>
    <mergeCell ref="B2:G2"/>
    <mergeCell ref="I11:N11"/>
    <mergeCell ref="I14:N14"/>
    <mergeCell ref="I17:N17"/>
    <mergeCell ref="B5:G5"/>
    <mergeCell ref="B8:G8"/>
    <mergeCell ref="B11:G11"/>
    <mergeCell ref="B14:G14"/>
    <mergeCell ref="I5:N5"/>
    <mergeCell ref="I8:N8"/>
  </mergeCells>
  <dataValidations count="2">
    <dataValidation type="list" allowBlank="1" showInputMessage="1" showErrorMessage="1" sqref="B26" xr:uid="{BC9F202B-6459-46CC-85B8-0EDFCB7F2ED8}">
      <formula1>"ja,nein"</formula1>
    </dataValidation>
    <dataValidation type="list" allowBlank="1" showInputMessage="1" showErrorMessage="1" errorTitle="Auswahlfehler" error="Es sind nur die vorgegebenen Eingaben zulässig_x000a_" promptTitle="Anrede" prompt="Bitte geben Sie die gewünschte Anrede ein." sqref="B2:G2 I8:N8" xr:uid="{F4150C43-FC7B-45F9-B393-D62D715EB4FD}">
      <formula1>"Herr, Frau, divers"</formula1>
    </dataValidation>
  </dataValidations>
  <hyperlinks>
    <hyperlink ref="B17" r:id="rId1" xr:uid="{450506F3-2851-41EB-BA86-E3B0ED9E3037}"/>
    <hyperlink ref="I20" r:id="rId2" xr:uid="{7D28EC4C-6FC7-4569-AEC1-124150DA9BC0}"/>
  </hyperlinks>
  <pageMargins left="0.7" right="0.7" top="0.78740157499999996" bottom="0.78740157499999996" header="0.3" footer="0.3"/>
  <pageSetup paperSize="9" scale="79" orientation="portrait" horizontalDpi="300" r:id="rId3"/>
  <headerFooter>
    <oddFooter>&amp;C_x000D_&amp;1#&amp;"Arial"&amp;8&amp;K000000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4A5BE3-30FC-487E-8054-71F2D872EC9A}">
          <x14:formula1>
            <xm:f>Status!$E$1:$E$21</xm:f>
          </x14:formula1>
          <xm:sqref>I37:N37</xm:sqref>
        </x14:dataValidation>
        <x14:dataValidation type="list" allowBlank="1" showInputMessage="1" showErrorMessage="1" xr:uid="{82418087-130E-4879-A413-35A5DC954F4B}">
          <x14:formula1>
            <xm:f>Status!$G$1:$G$20</xm:f>
          </x14:formula1>
          <xm:sqref>B37:G37 B40:G40 B43:G43 B46:G46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D62-84C8-4BCB-BC87-F073B3D638DE}">
  <sheetPr codeName="Tabelle1"/>
  <dimension ref="A1:AA1048576"/>
  <sheetViews>
    <sheetView tabSelected="1" view="pageBreakPreview" topLeftCell="A130" zoomScale="138" zoomScaleNormal="190" zoomScaleSheetLayoutView="175" zoomScalePageLayoutView="130" workbookViewId="0">
      <selection activeCell="H147" sqref="H147"/>
    </sheetView>
  </sheetViews>
  <sheetFormatPr baseColWidth="10" defaultColWidth="11.42578125" defaultRowHeight="14.25" x14ac:dyDescent="0.2"/>
  <cols>
    <col min="1" max="1" width="4.42578125" style="1" customWidth="1"/>
    <col min="2" max="2" width="5.5703125" style="1" customWidth="1"/>
    <col min="3" max="3" width="12.85546875" style="1" customWidth="1"/>
    <col min="4" max="4" width="4.140625" style="1" customWidth="1"/>
    <col min="5" max="5" width="7.28515625" style="1" customWidth="1"/>
    <col min="6" max="6" width="3.42578125" style="1" customWidth="1"/>
    <col min="7" max="7" width="5.28515625" style="1" customWidth="1"/>
    <col min="8" max="8" width="94.42578125" style="1" customWidth="1"/>
    <col min="9" max="9" width="7.140625" style="1" customWidth="1"/>
    <col min="10" max="11" width="10.7109375" style="1" customWidth="1"/>
    <col min="12" max="12" width="7.140625" style="1" customWidth="1"/>
    <col min="13" max="17" width="6.7109375" style="1" customWidth="1"/>
    <col min="18" max="16384" width="11.42578125" style="1"/>
  </cols>
  <sheetData>
    <row r="1" spans="1:14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4" x14ac:dyDescent="0.2">
      <c r="A2" s="99" t="str">
        <f>Student_Name</f>
        <v>Dirnberger</v>
      </c>
      <c r="B2" s="99"/>
      <c r="C2" s="99"/>
      <c r="D2" s="99"/>
      <c r="E2" s="99"/>
      <c r="F2" s="99"/>
      <c r="G2" s="26"/>
      <c r="H2" s="27" t="str">
        <f>Ausbildungsbetrieb_Unternehmen</f>
        <v>Continental Automotiv Technologies GmbH</v>
      </c>
      <c r="I2" s="26"/>
      <c r="J2" s="26"/>
      <c r="K2" s="26"/>
      <c r="L2" s="26"/>
    </row>
    <row r="3" spans="1:14" s="23" customFormat="1" ht="7.5" customHeight="1" x14ac:dyDescent="0.15">
      <c r="A3" s="28" t="s">
        <v>31</v>
      </c>
      <c r="B3" s="28"/>
      <c r="C3" s="28"/>
      <c r="D3" s="28"/>
      <c r="E3" s="28"/>
      <c r="F3" s="28"/>
      <c r="G3" s="28"/>
      <c r="H3" s="28" t="s">
        <v>32</v>
      </c>
      <c r="I3" s="28"/>
      <c r="J3" s="28"/>
      <c r="K3" s="28"/>
      <c r="L3" s="28"/>
    </row>
    <row r="4" spans="1:14" ht="7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4" x14ac:dyDescent="0.2">
      <c r="A5" s="99" t="str">
        <f>Student_Vorname</f>
        <v>Hubert</v>
      </c>
      <c r="B5" s="99"/>
      <c r="C5" s="99"/>
      <c r="D5" s="99"/>
      <c r="E5" s="99"/>
      <c r="F5" s="99"/>
      <c r="G5" s="26"/>
      <c r="H5" s="27" t="str">
        <f>CONCATENATE(Ausbildungsbetrieb_Vorname, " ", Ausbildungsbetrieb_Name)</f>
        <v>Christian Ruppel</v>
      </c>
      <c r="I5" s="26"/>
      <c r="J5" s="26"/>
      <c r="K5" s="26"/>
      <c r="L5" s="26"/>
    </row>
    <row r="6" spans="1:14" s="23" customFormat="1" ht="7.5" customHeight="1" x14ac:dyDescent="0.15">
      <c r="A6" s="28" t="s">
        <v>34</v>
      </c>
      <c r="B6" s="28"/>
      <c r="C6" s="28"/>
      <c r="D6" s="28"/>
      <c r="E6" s="28"/>
      <c r="F6" s="28"/>
      <c r="G6" s="28"/>
      <c r="H6" s="28" t="s">
        <v>78</v>
      </c>
      <c r="I6" s="28"/>
      <c r="J6" s="28"/>
      <c r="K6" s="28"/>
      <c r="L6" s="28"/>
    </row>
    <row r="7" spans="1:14" ht="7.5" customHeight="1" x14ac:dyDescent="0.2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4" x14ac:dyDescent="0.2">
      <c r="A8" s="99" t="str">
        <f>Student_Studiengruppe</f>
        <v>MB8</v>
      </c>
      <c r="B8" s="99"/>
      <c r="C8" s="99"/>
      <c r="D8" s="99"/>
      <c r="E8" s="99"/>
      <c r="F8" s="99"/>
      <c r="G8" s="26"/>
      <c r="H8" s="27" t="str">
        <f>Ausbildungsbetrieb_Email</f>
        <v>christian.ruppel@continental-corporaion.com</v>
      </c>
      <c r="I8" s="26"/>
      <c r="J8" s="26"/>
      <c r="K8" s="26"/>
      <c r="L8" s="26"/>
    </row>
    <row r="9" spans="1:14" s="23" customFormat="1" ht="7.5" customHeight="1" x14ac:dyDescent="0.15">
      <c r="A9" s="28" t="s">
        <v>38</v>
      </c>
      <c r="B9" s="28"/>
      <c r="C9" s="28"/>
      <c r="D9" s="28"/>
      <c r="E9" s="28"/>
      <c r="F9" s="28"/>
      <c r="G9" s="28"/>
      <c r="H9" s="28" t="s">
        <v>79</v>
      </c>
      <c r="I9" s="28"/>
      <c r="J9" s="28"/>
      <c r="K9" s="28"/>
      <c r="L9" s="28"/>
    </row>
    <row r="10" spans="1:14" ht="7.5" customHeight="1" x14ac:dyDescent="0.2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4" x14ac:dyDescent="0.2">
      <c r="A11" s="99">
        <f>Student_Matrikelnummer</f>
        <v>3315035</v>
      </c>
      <c r="B11" s="99"/>
      <c r="C11" s="99"/>
      <c r="D11" s="99"/>
      <c r="E11" s="99"/>
      <c r="F11" s="99"/>
      <c r="G11" s="26"/>
      <c r="H11" s="27" t="str">
        <f>Ausbildungsbetrieb_Telefon</f>
        <v>0499417903612</v>
      </c>
      <c r="I11" s="26"/>
      <c r="J11" s="26"/>
      <c r="K11" s="26"/>
      <c r="L11" s="26"/>
    </row>
    <row r="12" spans="1:14" s="23" customFormat="1" ht="7.5" customHeight="1" x14ac:dyDescent="0.15">
      <c r="A12" s="28" t="s">
        <v>41</v>
      </c>
      <c r="B12" s="28"/>
      <c r="C12" s="28"/>
      <c r="D12" s="28"/>
      <c r="E12" s="28"/>
      <c r="F12" s="28"/>
      <c r="G12" s="28"/>
      <c r="H12" s="28" t="s">
        <v>80</v>
      </c>
      <c r="I12" s="28"/>
      <c r="J12" s="28"/>
      <c r="K12" s="28"/>
      <c r="L12" s="28"/>
    </row>
    <row r="13" spans="1:14" ht="7.5" customHeight="1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14" x14ac:dyDescent="0.2">
      <c r="A14" s="14"/>
      <c r="B14" s="15"/>
      <c r="C14" s="15"/>
      <c r="D14" s="15"/>
      <c r="E14" s="15" t="s">
        <v>81</v>
      </c>
      <c r="F14" s="15"/>
      <c r="G14" s="15"/>
      <c r="H14" s="16" t="s">
        <v>82</v>
      </c>
      <c r="I14" s="78"/>
      <c r="J14" s="78"/>
      <c r="K14" s="78"/>
      <c r="L14" s="78"/>
    </row>
    <row r="15" spans="1:14" ht="45" customHeight="1" thickBot="1" x14ac:dyDescent="0.25">
      <c r="A15" s="104" t="s">
        <v>83</v>
      </c>
      <c r="B15" s="105"/>
      <c r="C15" s="17" t="s">
        <v>84</v>
      </c>
      <c r="D15" s="17"/>
      <c r="E15" s="103" t="s">
        <v>85</v>
      </c>
      <c r="F15" s="103"/>
      <c r="G15" s="18"/>
      <c r="H15" s="19" t="s">
        <v>86</v>
      </c>
      <c r="I15" s="78"/>
      <c r="J15" s="78"/>
      <c r="K15" s="78"/>
      <c r="L15" s="78"/>
    </row>
    <row r="16" spans="1:14" x14ac:dyDescent="0.2">
      <c r="A16" s="50">
        <v>1</v>
      </c>
      <c r="B16" s="51" t="str">
        <f>IF(WEEKDAY(C16,2)=1,"Mo",IF(WEEKDAY(C16,2)=2,"Di",IF(WEEKDAY(C16,2)=3,"Mi",IF(WEEKDAY(C16,2)=4,"Do.",IF(WEEKDAY(C16,2)=5,"Fr.",IF(WEEKDAY(C16,2)=6,"Sa.","So"))))))</f>
        <v>Mo</v>
      </c>
      <c r="C16" s="52">
        <f>Startdatum</f>
        <v>45901</v>
      </c>
      <c r="D16" s="53" t="s">
        <v>87</v>
      </c>
      <c r="E16" s="54">
        <v>7.75</v>
      </c>
      <c r="F16" s="81" t="s">
        <v>88</v>
      </c>
      <c r="G16" s="8" t="s">
        <v>53</v>
      </c>
      <c r="H16" s="55" t="s">
        <v>89</v>
      </c>
      <c r="I16" s="79"/>
      <c r="J16" s="79" t="s">
        <v>90</v>
      </c>
      <c r="K16" s="79"/>
      <c r="L16" s="79"/>
      <c r="N16" s="69"/>
    </row>
    <row r="17" spans="1:14" x14ac:dyDescent="0.2">
      <c r="A17" s="56">
        <f>A16+1</f>
        <v>2</v>
      </c>
      <c r="B17" s="57" t="str">
        <f t="shared" ref="B17:B43" si="0">IF(WEEKDAY(C17,2)=1,"Mo",IF(WEEKDAY(C17,2)=2,"Di",IF(WEEKDAY(C17,2)=3,"Mi",IF(WEEKDAY(C17,2)=4,"Do.",IF(WEEKDAY(C17,2)=5,"Fr.",IF(WEEKDAY(C17,2)=6,"Sa.","So"))))))</f>
        <v>Di</v>
      </c>
      <c r="C17" s="58">
        <f>C16+1</f>
        <v>45902</v>
      </c>
      <c r="D17" s="59" t="s">
        <v>87</v>
      </c>
      <c r="E17" s="60">
        <v>8</v>
      </c>
      <c r="F17" s="82" t="s">
        <v>88</v>
      </c>
      <c r="G17" s="3" t="s">
        <v>53</v>
      </c>
      <c r="H17" s="61" t="s">
        <v>91</v>
      </c>
      <c r="I17" s="79"/>
      <c r="J17" s="79" t="s">
        <v>90</v>
      </c>
      <c r="K17" s="79"/>
      <c r="L17" s="79"/>
      <c r="N17" s="69"/>
    </row>
    <row r="18" spans="1:14" x14ac:dyDescent="0.2">
      <c r="A18" s="56">
        <f t="shared" ref="A18:A42" si="1">A17+1</f>
        <v>3</v>
      </c>
      <c r="B18" s="57" t="str">
        <f t="shared" si="0"/>
        <v>Mi</v>
      </c>
      <c r="C18" s="58">
        <f t="shared" ref="C18:C43" si="2">C17+1</f>
        <v>45903</v>
      </c>
      <c r="D18" s="59" t="s">
        <v>87</v>
      </c>
      <c r="E18" s="60">
        <v>8</v>
      </c>
      <c r="F18" s="82" t="s">
        <v>88</v>
      </c>
      <c r="G18" s="3" t="s">
        <v>53</v>
      </c>
      <c r="H18" s="61" t="s">
        <v>92</v>
      </c>
      <c r="I18" s="79"/>
      <c r="J18" s="79"/>
      <c r="K18" s="79"/>
      <c r="L18" s="79"/>
      <c r="N18" s="69"/>
    </row>
    <row r="19" spans="1:14" x14ac:dyDescent="0.2">
      <c r="A19" s="56">
        <f t="shared" si="1"/>
        <v>4</v>
      </c>
      <c r="B19" s="57" t="str">
        <f t="shared" si="0"/>
        <v>Do.</v>
      </c>
      <c r="C19" s="58">
        <f t="shared" si="2"/>
        <v>45904</v>
      </c>
      <c r="D19" s="59" t="s">
        <v>87</v>
      </c>
      <c r="E19" s="60">
        <v>7.5</v>
      </c>
      <c r="F19" s="82" t="s">
        <v>88</v>
      </c>
      <c r="G19" s="3" t="s">
        <v>53</v>
      </c>
      <c r="H19" s="61" t="s">
        <v>93</v>
      </c>
      <c r="I19" s="79"/>
      <c r="J19" s="79"/>
      <c r="K19" s="79"/>
      <c r="L19" s="79"/>
      <c r="N19" s="69"/>
    </row>
    <row r="20" spans="1:14" ht="28.5" x14ac:dyDescent="0.2">
      <c r="A20" s="56">
        <f t="shared" si="1"/>
        <v>5</v>
      </c>
      <c r="B20" s="57" t="str">
        <f t="shared" si="0"/>
        <v>Fr.</v>
      </c>
      <c r="C20" s="58">
        <f t="shared" si="2"/>
        <v>45905</v>
      </c>
      <c r="D20" s="59" t="s">
        <v>87</v>
      </c>
      <c r="E20" s="60">
        <v>5.5</v>
      </c>
      <c r="F20" s="82" t="s">
        <v>88</v>
      </c>
      <c r="G20" s="3" t="s">
        <v>53</v>
      </c>
      <c r="H20" s="61" t="s">
        <v>94</v>
      </c>
      <c r="I20" s="79"/>
      <c r="J20" s="79"/>
      <c r="K20" s="79"/>
      <c r="L20" s="79"/>
      <c r="N20" s="69"/>
    </row>
    <row r="21" spans="1:14" x14ac:dyDescent="0.2">
      <c r="A21" s="56">
        <f t="shared" si="1"/>
        <v>6</v>
      </c>
      <c r="B21" s="57" t="str">
        <f t="shared" si="0"/>
        <v>Sa.</v>
      </c>
      <c r="C21" s="58">
        <f t="shared" si="2"/>
        <v>45906</v>
      </c>
      <c r="D21" s="59"/>
      <c r="E21" s="60">
        <v>0</v>
      </c>
      <c r="F21" s="82" t="s">
        <v>88</v>
      </c>
      <c r="G21" s="3" t="s">
        <v>53</v>
      </c>
      <c r="H21" s="61"/>
      <c r="I21" s="79"/>
      <c r="J21" s="79"/>
      <c r="K21" s="79"/>
      <c r="L21" s="79"/>
      <c r="N21" s="69"/>
    </row>
    <row r="22" spans="1:14" x14ac:dyDescent="0.2">
      <c r="A22" s="56">
        <f t="shared" si="1"/>
        <v>7</v>
      </c>
      <c r="B22" s="57" t="str">
        <f t="shared" si="0"/>
        <v>So</v>
      </c>
      <c r="C22" s="58">
        <f t="shared" si="2"/>
        <v>45907</v>
      </c>
      <c r="D22" s="59"/>
      <c r="E22" s="60">
        <v>0</v>
      </c>
      <c r="F22" s="82" t="s">
        <v>88</v>
      </c>
      <c r="G22" s="3" t="s">
        <v>53</v>
      </c>
      <c r="H22" s="61"/>
      <c r="I22" s="79"/>
      <c r="J22" s="79"/>
      <c r="K22" s="79"/>
      <c r="L22" s="79"/>
      <c r="N22" s="69"/>
    </row>
    <row r="23" spans="1:14" x14ac:dyDescent="0.2">
      <c r="A23" s="56">
        <f t="shared" si="1"/>
        <v>8</v>
      </c>
      <c r="B23" s="57" t="str">
        <f t="shared" si="0"/>
        <v>Mo</v>
      </c>
      <c r="C23" s="58">
        <f t="shared" si="2"/>
        <v>45908</v>
      </c>
      <c r="D23" s="59" t="s">
        <v>87</v>
      </c>
      <c r="E23" s="60">
        <v>6.5</v>
      </c>
      <c r="F23" s="82" t="s">
        <v>88</v>
      </c>
      <c r="G23" s="3" t="s">
        <v>53</v>
      </c>
      <c r="H23" s="61" t="s">
        <v>95</v>
      </c>
      <c r="I23" s="79"/>
      <c r="J23" s="79"/>
      <c r="K23" s="79"/>
      <c r="L23" s="79"/>
      <c r="N23" s="69"/>
    </row>
    <row r="24" spans="1:14" x14ac:dyDescent="0.2">
      <c r="A24" s="56">
        <f t="shared" si="1"/>
        <v>9</v>
      </c>
      <c r="B24" s="57" t="str">
        <f t="shared" si="0"/>
        <v>Di</v>
      </c>
      <c r="C24" s="58">
        <f t="shared" si="2"/>
        <v>45909</v>
      </c>
      <c r="D24" s="59" t="s">
        <v>87</v>
      </c>
      <c r="E24" s="60">
        <v>7.75</v>
      </c>
      <c r="F24" s="82" t="s">
        <v>88</v>
      </c>
      <c r="G24" s="3" t="s">
        <v>53</v>
      </c>
      <c r="H24" s="61" t="s">
        <v>96</v>
      </c>
      <c r="I24" s="79"/>
      <c r="J24" s="79"/>
      <c r="K24" s="79"/>
      <c r="L24" s="79"/>
      <c r="N24" s="69"/>
    </row>
    <row r="25" spans="1:14" x14ac:dyDescent="0.2">
      <c r="A25" s="56">
        <f t="shared" si="1"/>
        <v>10</v>
      </c>
      <c r="B25" s="57" t="str">
        <f t="shared" si="0"/>
        <v>Mi</v>
      </c>
      <c r="C25" s="58">
        <f t="shared" si="2"/>
        <v>45910</v>
      </c>
      <c r="D25" s="59" t="s">
        <v>87</v>
      </c>
      <c r="E25" s="60">
        <v>7.5</v>
      </c>
      <c r="F25" s="82" t="s">
        <v>88</v>
      </c>
      <c r="G25" s="3" t="s">
        <v>53</v>
      </c>
      <c r="H25" s="61" t="s">
        <v>97</v>
      </c>
      <c r="I25" s="79"/>
      <c r="J25" s="79"/>
      <c r="K25" s="79"/>
      <c r="L25" s="79"/>
      <c r="N25" s="69"/>
    </row>
    <row r="26" spans="1:14" x14ac:dyDescent="0.2">
      <c r="A26" s="56">
        <f t="shared" si="1"/>
        <v>11</v>
      </c>
      <c r="B26" s="57" t="str">
        <f t="shared" si="0"/>
        <v>Do.</v>
      </c>
      <c r="C26" s="58">
        <f t="shared" si="2"/>
        <v>45911</v>
      </c>
      <c r="D26" s="59" t="s">
        <v>87</v>
      </c>
      <c r="E26" s="60">
        <v>7</v>
      </c>
      <c r="F26" s="82" t="s">
        <v>88</v>
      </c>
      <c r="G26" s="3" t="s">
        <v>53</v>
      </c>
      <c r="H26" s="61" t="s">
        <v>98</v>
      </c>
      <c r="I26" s="79"/>
      <c r="J26" s="79"/>
      <c r="K26" s="79"/>
      <c r="L26" s="79"/>
      <c r="N26" s="69"/>
    </row>
    <row r="27" spans="1:14" x14ac:dyDescent="0.2">
      <c r="A27" s="56">
        <f t="shared" si="1"/>
        <v>12</v>
      </c>
      <c r="B27" s="57" t="str">
        <f t="shared" si="0"/>
        <v>Fr.</v>
      </c>
      <c r="C27" s="58">
        <f t="shared" si="2"/>
        <v>45912</v>
      </c>
      <c r="D27" s="59" t="s">
        <v>87</v>
      </c>
      <c r="E27" s="60">
        <v>8</v>
      </c>
      <c r="F27" s="82" t="s">
        <v>88</v>
      </c>
      <c r="G27" s="3" t="s">
        <v>53</v>
      </c>
      <c r="H27" s="61" t="s">
        <v>157</v>
      </c>
      <c r="I27" s="79"/>
      <c r="J27" s="79"/>
      <c r="K27" s="79"/>
      <c r="L27" s="79"/>
      <c r="N27" s="69"/>
    </row>
    <row r="28" spans="1:14" x14ac:dyDescent="0.2">
      <c r="A28" s="56">
        <f t="shared" si="1"/>
        <v>13</v>
      </c>
      <c r="B28" s="57" t="str">
        <f t="shared" si="0"/>
        <v>Sa.</v>
      </c>
      <c r="C28" s="58">
        <f t="shared" si="2"/>
        <v>45913</v>
      </c>
      <c r="D28" s="59"/>
      <c r="E28" s="60"/>
      <c r="F28" s="82" t="s">
        <v>88</v>
      </c>
      <c r="G28" s="3" t="s">
        <v>53</v>
      </c>
      <c r="H28" s="61"/>
      <c r="I28" s="79"/>
      <c r="J28" s="79"/>
      <c r="K28" s="79"/>
      <c r="L28" s="79"/>
      <c r="N28" s="69"/>
    </row>
    <row r="29" spans="1:14" x14ac:dyDescent="0.2">
      <c r="A29" s="56">
        <f t="shared" si="1"/>
        <v>14</v>
      </c>
      <c r="B29" s="57" t="str">
        <f t="shared" si="0"/>
        <v>So</v>
      </c>
      <c r="C29" s="58">
        <f t="shared" si="2"/>
        <v>45914</v>
      </c>
      <c r="D29" s="59"/>
      <c r="E29" s="60"/>
      <c r="F29" s="82" t="s">
        <v>88</v>
      </c>
      <c r="G29" s="3" t="s">
        <v>53</v>
      </c>
      <c r="H29" s="61"/>
      <c r="I29" s="79"/>
      <c r="J29" s="79"/>
      <c r="K29" s="79"/>
      <c r="L29" s="79"/>
      <c r="N29" s="69"/>
    </row>
    <row r="30" spans="1:14" x14ac:dyDescent="0.2">
      <c r="A30" s="56">
        <f t="shared" si="1"/>
        <v>15</v>
      </c>
      <c r="B30" s="57" t="str">
        <f t="shared" si="0"/>
        <v>Mo</v>
      </c>
      <c r="C30" s="58">
        <f t="shared" si="2"/>
        <v>45915</v>
      </c>
      <c r="D30" s="59" t="s">
        <v>87</v>
      </c>
      <c r="E30" s="60">
        <v>7.5</v>
      </c>
      <c r="F30" s="82" t="s">
        <v>88</v>
      </c>
      <c r="G30" s="3" t="s">
        <v>53</v>
      </c>
      <c r="H30" s="61" t="s">
        <v>99</v>
      </c>
      <c r="I30" s="79"/>
      <c r="J30" s="79"/>
      <c r="K30" s="79"/>
      <c r="L30" s="79"/>
      <c r="N30" s="69"/>
    </row>
    <row r="31" spans="1:14" x14ac:dyDescent="0.2">
      <c r="A31" s="56">
        <f t="shared" si="1"/>
        <v>16</v>
      </c>
      <c r="B31" s="57" t="str">
        <f t="shared" si="0"/>
        <v>Di</v>
      </c>
      <c r="C31" s="58">
        <f t="shared" si="2"/>
        <v>45916</v>
      </c>
      <c r="D31" s="59" t="s">
        <v>87</v>
      </c>
      <c r="E31" s="60">
        <v>8</v>
      </c>
      <c r="F31" s="82" t="s">
        <v>88</v>
      </c>
      <c r="G31" s="3" t="s">
        <v>53</v>
      </c>
      <c r="H31" s="61" t="s">
        <v>100</v>
      </c>
      <c r="I31" s="79"/>
      <c r="J31" s="79"/>
      <c r="K31" s="79"/>
      <c r="L31" s="79"/>
      <c r="N31" s="69"/>
    </row>
    <row r="32" spans="1:14" x14ac:dyDescent="0.2">
      <c r="A32" s="56">
        <f t="shared" si="1"/>
        <v>17</v>
      </c>
      <c r="B32" s="57" t="str">
        <f t="shared" si="0"/>
        <v>Mi</v>
      </c>
      <c r="C32" s="58">
        <f t="shared" si="2"/>
        <v>45917</v>
      </c>
      <c r="D32" s="59" t="s">
        <v>87</v>
      </c>
      <c r="E32" s="60">
        <v>7</v>
      </c>
      <c r="F32" s="82" t="s">
        <v>88</v>
      </c>
      <c r="G32" s="3" t="s">
        <v>53</v>
      </c>
      <c r="H32" s="61" t="s">
        <v>101</v>
      </c>
      <c r="I32" s="79"/>
      <c r="J32" s="79"/>
      <c r="K32" s="79"/>
      <c r="L32" s="79"/>
      <c r="N32" s="69"/>
    </row>
    <row r="33" spans="1:27" x14ac:dyDescent="0.2">
      <c r="A33" s="56">
        <f t="shared" si="1"/>
        <v>18</v>
      </c>
      <c r="B33" s="57" t="str">
        <f t="shared" si="0"/>
        <v>Do.</v>
      </c>
      <c r="C33" s="58">
        <f t="shared" si="2"/>
        <v>45918</v>
      </c>
      <c r="D33" s="59" t="s">
        <v>87</v>
      </c>
      <c r="E33" s="60">
        <v>8</v>
      </c>
      <c r="F33" s="82" t="s">
        <v>88</v>
      </c>
      <c r="G33" s="3" t="s">
        <v>53</v>
      </c>
      <c r="H33" s="61" t="s">
        <v>102</v>
      </c>
      <c r="I33" s="79"/>
      <c r="J33" s="79"/>
      <c r="K33" s="79"/>
      <c r="L33" s="79"/>
      <c r="N33" s="69"/>
    </row>
    <row r="34" spans="1:27" x14ac:dyDescent="0.2">
      <c r="A34" s="56">
        <f t="shared" si="1"/>
        <v>19</v>
      </c>
      <c r="B34" s="57" t="str">
        <f t="shared" si="0"/>
        <v>Fr.</v>
      </c>
      <c r="C34" s="58">
        <f t="shared" si="2"/>
        <v>45919</v>
      </c>
      <c r="D34" s="59" t="s">
        <v>87</v>
      </c>
      <c r="E34" s="60">
        <v>7</v>
      </c>
      <c r="F34" s="82" t="s">
        <v>88</v>
      </c>
      <c r="G34" s="3" t="s">
        <v>53</v>
      </c>
      <c r="H34" s="61" t="s">
        <v>158</v>
      </c>
      <c r="I34" s="79"/>
      <c r="J34" s="79"/>
      <c r="K34" s="79"/>
      <c r="L34" s="79"/>
      <c r="N34" s="69"/>
    </row>
    <row r="35" spans="1:27" x14ac:dyDescent="0.2">
      <c r="A35" s="56">
        <f t="shared" si="1"/>
        <v>20</v>
      </c>
      <c r="B35" s="57" t="str">
        <f t="shared" si="0"/>
        <v>Sa.</v>
      </c>
      <c r="C35" s="58">
        <f t="shared" si="2"/>
        <v>45920</v>
      </c>
      <c r="D35" s="59"/>
      <c r="E35" s="60"/>
      <c r="F35" s="82" t="s">
        <v>88</v>
      </c>
      <c r="G35" s="3" t="s">
        <v>53</v>
      </c>
      <c r="H35" s="61"/>
      <c r="I35" s="79"/>
      <c r="J35" s="79"/>
      <c r="K35" s="79"/>
      <c r="L35" s="79"/>
      <c r="N35" s="69"/>
    </row>
    <row r="36" spans="1:27" x14ac:dyDescent="0.2">
      <c r="A36" s="56">
        <f t="shared" si="1"/>
        <v>21</v>
      </c>
      <c r="B36" s="57" t="str">
        <f t="shared" si="0"/>
        <v>So</v>
      </c>
      <c r="C36" s="58">
        <f t="shared" si="2"/>
        <v>45921</v>
      </c>
      <c r="D36" s="59"/>
      <c r="E36" s="60"/>
      <c r="F36" s="82" t="s">
        <v>88</v>
      </c>
      <c r="G36" s="3" t="s">
        <v>53</v>
      </c>
      <c r="H36" s="61"/>
      <c r="I36" s="79"/>
      <c r="J36" s="79"/>
      <c r="K36" s="79"/>
      <c r="L36" s="79"/>
      <c r="N36" s="69"/>
    </row>
    <row r="37" spans="1:27" x14ac:dyDescent="0.2">
      <c r="A37" s="56">
        <f t="shared" si="1"/>
        <v>22</v>
      </c>
      <c r="B37" s="57" t="str">
        <f t="shared" si="0"/>
        <v>Mo</v>
      </c>
      <c r="C37" s="58">
        <f t="shared" si="2"/>
        <v>45922</v>
      </c>
      <c r="D37" s="59" t="s">
        <v>87</v>
      </c>
      <c r="E37" s="60">
        <v>8</v>
      </c>
      <c r="F37" s="82" t="s">
        <v>88</v>
      </c>
      <c r="G37" s="3" t="s">
        <v>53</v>
      </c>
      <c r="H37" s="61" t="s">
        <v>159</v>
      </c>
      <c r="I37" s="79"/>
      <c r="J37" s="79"/>
      <c r="K37" s="79"/>
      <c r="L37" s="79"/>
    </row>
    <row r="38" spans="1:27" x14ac:dyDescent="0.2">
      <c r="A38" s="56">
        <f t="shared" si="1"/>
        <v>23</v>
      </c>
      <c r="B38" s="57" t="str">
        <f t="shared" si="0"/>
        <v>Di</v>
      </c>
      <c r="C38" s="58">
        <f t="shared" si="2"/>
        <v>45923</v>
      </c>
      <c r="D38" s="59" t="s">
        <v>87</v>
      </c>
      <c r="E38" s="60">
        <v>8</v>
      </c>
      <c r="F38" s="82" t="s">
        <v>88</v>
      </c>
      <c r="G38" s="3" t="s">
        <v>53</v>
      </c>
      <c r="H38" s="61" t="s">
        <v>160</v>
      </c>
      <c r="I38" s="79"/>
      <c r="J38" s="84"/>
      <c r="K38" s="79"/>
      <c r="L38" s="79"/>
    </row>
    <row r="39" spans="1:27" x14ac:dyDescent="0.2">
      <c r="A39" s="56">
        <f t="shared" si="1"/>
        <v>24</v>
      </c>
      <c r="B39" s="57" t="str">
        <f t="shared" si="0"/>
        <v>Mi</v>
      </c>
      <c r="C39" s="58">
        <f t="shared" si="2"/>
        <v>45924</v>
      </c>
      <c r="D39" s="59" t="s">
        <v>87</v>
      </c>
      <c r="E39" s="60">
        <v>8</v>
      </c>
      <c r="F39" s="82" t="s">
        <v>88</v>
      </c>
      <c r="G39" s="3" t="s">
        <v>53</v>
      </c>
      <c r="H39" s="61" t="s">
        <v>161</v>
      </c>
      <c r="I39" s="79"/>
      <c r="J39" s="79"/>
      <c r="K39" s="79"/>
      <c r="L39" s="79"/>
    </row>
    <row r="40" spans="1:27" ht="28.5" x14ac:dyDescent="0.2">
      <c r="A40" s="56">
        <f t="shared" si="1"/>
        <v>25</v>
      </c>
      <c r="B40" s="57" t="str">
        <f t="shared" si="0"/>
        <v>Do.</v>
      </c>
      <c r="C40" s="58">
        <f t="shared" si="2"/>
        <v>45925</v>
      </c>
      <c r="D40" s="59" t="s">
        <v>87</v>
      </c>
      <c r="E40" s="60">
        <v>8</v>
      </c>
      <c r="F40" s="82" t="s">
        <v>88</v>
      </c>
      <c r="G40" s="3" t="s">
        <v>53</v>
      </c>
      <c r="H40" s="61" t="s">
        <v>162</v>
      </c>
      <c r="I40" s="79"/>
      <c r="J40" s="79"/>
      <c r="K40" s="79"/>
      <c r="L40" s="79"/>
    </row>
    <row r="41" spans="1:27" x14ac:dyDescent="0.2">
      <c r="A41" s="56">
        <f t="shared" si="1"/>
        <v>26</v>
      </c>
      <c r="B41" s="57" t="str">
        <f t="shared" si="0"/>
        <v>Fr.</v>
      </c>
      <c r="C41" s="58">
        <f t="shared" si="2"/>
        <v>45926</v>
      </c>
      <c r="D41" s="59" t="s">
        <v>87</v>
      </c>
      <c r="E41" s="60">
        <v>8</v>
      </c>
      <c r="F41" s="82" t="s">
        <v>88</v>
      </c>
      <c r="G41" s="3" t="s">
        <v>53</v>
      </c>
      <c r="H41" s="61" t="s">
        <v>163</v>
      </c>
      <c r="I41" s="79"/>
      <c r="J41" s="79"/>
      <c r="K41" s="79"/>
      <c r="L41" s="79"/>
    </row>
    <row r="42" spans="1:27" x14ac:dyDescent="0.2">
      <c r="A42" s="56">
        <f t="shared" si="1"/>
        <v>27</v>
      </c>
      <c r="B42" s="57" t="str">
        <f t="shared" si="0"/>
        <v>Sa.</v>
      </c>
      <c r="C42" s="58">
        <f t="shared" si="2"/>
        <v>45927</v>
      </c>
      <c r="D42" s="59"/>
      <c r="E42" s="60"/>
      <c r="F42" s="82" t="s">
        <v>88</v>
      </c>
      <c r="G42" s="3" t="s">
        <v>53</v>
      </c>
      <c r="H42" s="61"/>
      <c r="I42" s="79"/>
      <c r="J42" s="79"/>
      <c r="K42" s="79"/>
      <c r="L42" s="79"/>
    </row>
    <row r="43" spans="1:27" ht="15" thickBot="1" x14ac:dyDescent="0.25">
      <c r="A43" s="63">
        <f>A42+1</f>
        <v>28</v>
      </c>
      <c r="B43" s="64" t="str">
        <f t="shared" si="0"/>
        <v>So</v>
      </c>
      <c r="C43" s="65">
        <f t="shared" si="2"/>
        <v>45928</v>
      </c>
      <c r="D43" s="66"/>
      <c r="E43" s="67"/>
      <c r="F43" s="83" t="s">
        <v>88</v>
      </c>
      <c r="G43" s="13" t="s">
        <v>53</v>
      </c>
      <c r="H43" s="68"/>
      <c r="I43" s="79"/>
      <c r="J43" s="79"/>
      <c r="K43" s="79"/>
      <c r="L43" s="79"/>
      <c r="N43" s="47"/>
      <c r="O43" s="48" t="s">
        <v>103</v>
      </c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spans="1:27" x14ac:dyDescent="0.2">
      <c r="A44" s="69"/>
      <c r="B44" s="69"/>
      <c r="C44" s="69"/>
      <c r="D44" s="69"/>
      <c r="E44" s="69"/>
      <c r="F44" s="24"/>
      <c r="G44" s="24"/>
      <c r="H44" s="69"/>
      <c r="I44" s="69"/>
      <c r="J44" s="69"/>
      <c r="K44" s="69"/>
      <c r="L44" s="69"/>
      <c r="N44" s="46"/>
      <c r="O44" s="1" t="s">
        <v>104</v>
      </c>
    </row>
    <row r="45" spans="1:27" x14ac:dyDescent="0.2">
      <c r="A45" s="98" t="str">
        <f>Student_Name</f>
        <v>Dirnberger</v>
      </c>
      <c r="B45" s="98"/>
      <c r="C45" s="98"/>
      <c r="D45" s="98"/>
      <c r="E45" s="98"/>
      <c r="F45" s="99"/>
      <c r="G45" s="26"/>
      <c r="H45" s="77" t="str">
        <f>Ausbildungsbetrieb_Unternehmen</f>
        <v>Continental Automotiv Technologies GmbH</v>
      </c>
      <c r="I45" s="71"/>
      <c r="J45" s="71"/>
      <c r="K45" s="71"/>
      <c r="L45" s="71"/>
    </row>
    <row r="46" spans="1:27" ht="7.5" customHeight="1" x14ac:dyDescent="0.2">
      <c r="A46" s="70" t="s">
        <v>31</v>
      </c>
      <c r="B46" s="70"/>
      <c r="C46" s="70"/>
      <c r="D46" s="70"/>
      <c r="E46" s="70"/>
      <c r="F46" s="28"/>
      <c r="G46" s="28"/>
      <c r="H46" s="70" t="s">
        <v>32</v>
      </c>
      <c r="I46" s="70"/>
      <c r="J46" s="70"/>
      <c r="K46" s="70"/>
      <c r="L46" s="70"/>
    </row>
    <row r="47" spans="1:27" ht="7.5" customHeight="1" x14ac:dyDescent="0.2">
      <c r="A47" s="71"/>
      <c r="B47" s="71"/>
      <c r="C47" s="71"/>
      <c r="D47" s="71"/>
      <c r="E47" s="71"/>
      <c r="F47" s="26"/>
      <c r="G47" s="26"/>
      <c r="H47" s="71"/>
      <c r="I47" s="71"/>
      <c r="J47" s="71"/>
      <c r="K47" s="71"/>
      <c r="L47" s="71"/>
    </row>
    <row r="48" spans="1:27" x14ac:dyDescent="0.2">
      <c r="A48" s="98" t="str">
        <f>Student_Vorname</f>
        <v>Hubert</v>
      </c>
      <c r="B48" s="98"/>
      <c r="C48" s="98"/>
      <c r="D48" s="98"/>
      <c r="E48" s="98"/>
      <c r="F48" s="99"/>
      <c r="G48" s="26"/>
      <c r="H48" s="77" t="str">
        <f>CONCATENATE(Ausbildungsbetrieb_Vorname, " ", Ausbildungsbetrieb_Name)</f>
        <v>Christian Ruppel</v>
      </c>
      <c r="I48" s="71"/>
      <c r="J48" s="71"/>
      <c r="K48" s="71"/>
      <c r="L48" s="71"/>
    </row>
    <row r="49" spans="1:12" ht="7.5" customHeight="1" x14ac:dyDescent="0.2">
      <c r="A49" s="70" t="s">
        <v>34</v>
      </c>
      <c r="B49" s="70"/>
      <c r="C49" s="70"/>
      <c r="D49" s="70"/>
      <c r="E49" s="70"/>
      <c r="F49" s="28"/>
      <c r="G49" s="28"/>
      <c r="H49" s="70" t="s">
        <v>78</v>
      </c>
      <c r="I49" s="70"/>
      <c r="J49" s="70"/>
      <c r="K49" s="70"/>
      <c r="L49" s="70"/>
    </row>
    <row r="50" spans="1:12" ht="7.5" customHeight="1" x14ac:dyDescent="0.2">
      <c r="A50" s="71"/>
      <c r="B50" s="71"/>
      <c r="C50" s="71"/>
      <c r="D50" s="71"/>
      <c r="E50" s="71"/>
      <c r="F50" s="26"/>
      <c r="G50" s="26"/>
      <c r="H50" s="71"/>
      <c r="I50" s="71"/>
      <c r="J50" s="71"/>
      <c r="K50" s="71"/>
      <c r="L50" s="71"/>
    </row>
    <row r="51" spans="1:12" x14ac:dyDescent="0.2">
      <c r="A51" s="98" t="str">
        <f>Student_Studiengruppe</f>
        <v>MB8</v>
      </c>
      <c r="B51" s="98"/>
      <c r="C51" s="98"/>
      <c r="D51" s="98"/>
      <c r="E51" s="98"/>
      <c r="F51" s="99"/>
      <c r="G51" s="26"/>
      <c r="H51" s="77" t="str">
        <f>Ausbildungsbetrieb_Email</f>
        <v>christian.ruppel@continental-corporaion.com</v>
      </c>
      <c r="I51" s="71"/>
      <c r="J51" s="71"/>
      <c r="K51" s="71"/>
      <c r="L51" s="71"/>
    </row>
    <row r="52" spans="1:12" ht="7.5" customHeight="1" x14ac:dyDescent="0.2">
      <c r="A52" s="70" t="s">
        <v>38</v>
      </c>
      <c r="B52" s="70"/>
      <c r="C52" s="70"/>
      <c r="D52" s="70"/>
      <c r="E52" s="70"/>
      <c r="F52" s="28"/>
      <c r="G52" s="28"/>
      <c r="H52" s="70" t="s">
        <v>79</v>
      </c>
      <c r="I52" s="70"/>
      <c r="J52" s="70"/>
      <c r="K52" s="70"/>
      <c r="L52" s="70"/>
    </row>
    <row r="53" spans="1:12" ht="7.5" customHeight="1" x14ac:dyDescent="0.2">
      <c r="A53" s="71"/>
      <c r="B53" s="71"/>
      <c r="C53" s="71"/>
      <c r="D53" s="71"/>
      <c r="E53" s="71"/>
      <c r="F53" s="26"/>
      <c r="G53" s="26"/>
      <c r="H53" s="71"/>
      <c r="I53" s="71"/>
      <c r="J53" s="71"/>
      <c r="K53" s="71"/>
      <c r="L53" s="71"/>
    </row>
    <row r="54" spans="1:12" x14ac:dyDescent="0.2">
      <c r="A54" s="98">
        <f>Student_Matrikelnummer</f>
        <v>3315035</v>
      </c>
      <c r="B54" s="98"/>
      <c r="C54" s="98"/>
      <c r="D54" s="98"/>
      <c r="E54" s="98"/>
      <c r="F54" s="99"/>
      <c r="G54" s="26"/>
      <c r="H54" s="77" t="str">
        <f>Ausbildungsbetrieb_Telefon</f>
        <v>0499417903612</v>
      </c>
      <c r="I54" s="71"/>
      <c r="J54" s="71"/>
      <c r="K54" s="71"/>
      <c r="L54" s="71"/>
    </row>
    <row r="55" spans="1:12" ht="7.5" customHeight="1" x14ac:dyDescent="0.2">
      <c r="A55" s="70" t="s">
        <v>41</v>
      </c>
      <c r="B55" s="70"/>
      <c r="C55" s="70"/>
      <c r="D55" s="70"/>
      <c r="E55" s="70"/>
      <c r="F55" s="28"/>
      <c r="G55" s="28"/>
      <c r="H55" s="70" t="s">
        <v>80</v>
      </c>
      <c r="I55" s="70"/>
      <c r="J55" s="70"/>
      <c r="K55" s="70"/>
      <c r="L55" s="70"/>
    </row>
    <row r="56" spans="1:12" ht="7.5" customHeight="1" thickBot="1" x14ac:dyDescent="0.25">
      <c r="A56" s="71"/>
      <c r="B56" s="71"/>
      <c r="C56" s="71"/>
      <c r="D56" s="71"/>
      <c r="E56" s="71"/>
      <c r="F56" s="26"/>
      <c r="G56" s="26"/>
      <c r="H56" s="71"/>
      <c r="I56" s="71"/>
      <c r="J56" s="71"/>
      <c r="K56" s="71"/>
      <c r="L56" s="71"/>
    </row>
    <row r="57" spans="1:12" x14ac:dyDescent="0.2">
      <c r="A57" s="72"/>
      <c r="B57" s="73"/>
      <c r="C57" s="73"/>
      <c r="D57" s="73"/>
      <c r="E57" s="73" t="s">
        <v>81</v>
      </c>
      <c r="F57" s="15"/>
      <c r="G57" s="15"/>
      <c r="H57" s="74" t="s">
        <v>82</v>
      </c>
      <c r="I57" s="69"/>
      <c r="J57" s="69"/>
      <c r="K57" s="69"/>
      <c r="L57" s="69"/>
    </row>
    <row r="58" spans="1:12" ht="45" customHeight="1" thickBot="1" x14ac:dyDescent="0.25">
      <c r="A58" s="100" t="s">
        <v>83</v>
      </c>
      <c r="B58" s="101"/>
      <c r="C58" s="75" t="s">
        <v>84</v>
      </c>
      <c r="D58" s="75"/>
      <c r="E58" s="102" t="s">
        <v>85</v>
      </c>
      <c r="F58" s="103"/>
      <c r="G58" s="18"/>
      <c r="H58" s="76" t="s">
        <v>86</v>
      </c>
      <c r="I58" s="69"/>
      <c r="J58" s="69"/>
      <c r="K58" s="69"/>
      <c r="L58" s="69"/>
    </row>
    <row r="59" spans="1:12" x14ac:dyDescent="0.2">
      <c r="A59" s="50">
        <f>A43+1</f>
        <v>29</v>
      </c>
      <c r="B59" s="51" t="str">
        <f>IF(WEEKDAY(C59,2)=1,"Mo",IF(WEEKDAY(C59,2)=2,"Di",IF(WEEKDAY(C59,2)=3,"Mi",IF(WEEKDAY(C59,2)=4,"Do.",IF(WEEKDAY(C59,2)=5,"Fr.",IF(WEEKDAY(C59,2)=6,"Sa.","So"))))))</f>
        <v>Mo</v>
      </c>
      <c r="C59" s="52">
        <f>C43+1</f>
        <v>45929</v>
      </c>
      <c r="D59" s="53" t="s">
        <v>87</v>
      </c>
      <c r="E59" s="54">
        <v>8.75</v>
      </c>
      <c r="F59" s="81" t="s">
        <v>88</v>
      </c>
      <c r="G59" s="8" t="s">
        <v>53</v>
      </c>
      <c r="H59" s="55" t="s">
        <v>164</v>
      </c>
      <c r="I59" s="79"/>
      <c r="J59" s="79"/>
      <c r="K59" s="79"/>
      <c r="L59" s="79"/>
    </row>
    <row r="60" spans="1:12" x14ac:dyDescent="0.2">
      <c r="A60" s="56">
        <f>A59+1</f>
        <v>30</v>
      </c>
      <c r="B60" s="57" t="str">
        <f t="shared" ref="B60:B86" si="3">IF(WEEKDAY(C60,2)=1,"Mo",IF(WEEKDAY(C60,2)=2,"Di",IF(WEEKDAY(C60,2)=3,"Mi",IF(WEEKDAY(C60,2)=4,"Do.",IF(WEEKDAY(C60,2)=5,"Fr.",IF(WEEKDAY(C60,2)=6,"Sa.","So"))))))</f>
        <v>Di</v>
      </c>
      <c r="C60" s="58">
        <f>C59+1</f>
        <v>45930</v>
      </c>
      <c r="D60" s="59" t="s">
        <v>87</v>
      </c>
      <c r="E60" s="60">
        <v>7.75</v>
      </c>
      <c r="F60" s="82" t="s">
        <v>88</v>
      </c>
      <c r="G60" s="3" t="s">
        <v>53</v>
      </c>
      <c r="H60" s="61" t="s">
        <v>165</v>
      </c>
      <c r="I60" s="79"/>
      <c r="J60" s="79"/>
      <c r="K60" s="79"/>
      <c r="L60" s="79"/>
    </row>
    <row r="61" spans="1:12" x14ac:dyDescent="0.2">
      <c r="A61" s="56">
        <f t="shared" ref="A61:A85" si="4">A60+1</f>
        <v>31</v>
      </c>
      <c r="B61" s="57" t="str">
        <f t="shared" si="3"/>
        <v>Mi</v>
      </c>
      <c r="C61" s="58">
        <f t="shared" ref="C61:C86" si="5">C60+1</f>
        <v>45931</v>
      </c>
      <c r="D61" s="59" t="s">
        <v>87</v>
      </c>
      <c r="E61" s="60">
        <v>7.75</v>
      </c>
      <c r="F61" s="2" t="s">
        <v>88</v>
      </c>
      <c r="G61" s="3" t="s">
        <v>53</v>
      </c>
      <c r="H61" s="61" t="s">
        <v>166</v>
      </c>
      <c r="I61" s="79"/>
      <c r="J61" s="79"/>
      <c r="K61" s="79"/>
      <c r="L61" s="79"/>
    </row>
    <row r="62" spans="1:12" x14ac:dyDescent="0.2">
      <c r="A62" s="56">
        <f t="shared" si="4"/>
        <v>32</v>
      </c>
      <c r="B62" s="57" t="str">
        <f t="shared" si="3"/>
        <v>Do.</v>
      </c>
      <c r="C62" s="58">
        <f t="shared" si="5"/>
        <v>45932</v>
      </c>
      <c r="D62" s="59" t="s">
        <v>87</v>
      </c>
      <c r="E62" s="60">
        <v>7.5</v>
      </c>
      <c r="F62" s="2" t="s">
        <v>88</v>
      </c>
      <c r="G62" s="3" t="s">
        <v>53</v>
      </c>
      <c r="H62" s="61" t="s">
        <v>167</v>
      </c>
      <c r="I62" s="79"/>
      <c r="J62" s="79"/>
      <c r="K62" s="79"/>
      <c r="L62" s="79"/>
    </row>
    <row r="63" spans="1:12" x14ac:dyDescent="0.2">
      <c r="A63" s="56">
        <f t="shared" si="4"/>
        <v>33</v>
      </c>
      <c r="B63" s="57" t="str">
        <f t="shared" si="3"/>
        <v>Fr.</v>
      </c>
      <c r="C63" s="58">
        <f t="shared" si="5"/>
        <v>45933</v>
      </c>
      <c r="D63" s="59" t="s">
        <v>139</v>
      </c>
      <c r="E63" s="60"/>
      <c r="F63" s="2" t="s">
        <v>88</v>
      </c>
      <c r="G63" s="3" t="s">
        <v>53</v>
      </c>
      <c r="H63" s="88" t="s">
        <v>140</v>
      </c>
      <c r="I63" s="79"/>
      <c r="J63" s="79"/>
      <c r="K63" s="79"/>
      <c r="L63" s="79"/>
    </row>
    <row r="64" spans="1:12" x14ac:dyDescent="0.2">
      <c r="A64" s="56">
        <f t="shared" si="4"/>
        <v>34</v>
      </c>
      <c r="B64" s="57" t="str">
        <f t="shared" si="3"/>
        <v>Sa.</v>
      </c>
      <c r="C64" s="58">
        <f t="shared" si="5"/>
        <v>45934</v>
      </c>
      <c r="D64" s="59"/>
      <c r="E64" s="60"/>
      <c r="F64" s="2" t="s">
        <v>88</v>
      </c>
      <c r="G64" s="3" t="s">
        <v>53</v>
      </c>
      <c r="H64" s="61"/>
      <c r="I64" s="79"/>
      <c r="J64" s="79"/>
      <c r="K64" s="79"/>
      <c r="L64" s="79"/>
    </row>
    <row r="65" spans="1:12" x14ac:dyDescent="0.2">
      <c r="A65" s="56">
        <f t="shared" si="4"/>
        <v>35</v>
      </c>
      <c r="B65" s="57" t="str">
        <f t="shared" si="3"/>
        <v>So</v>
      </c>
      <c r="C65" s="58">
        <f t="shared" si="5"/>
        <v>45935</v>
      </c>
      <c r="D65" s="59"/>
      <c r="E65" s="60"/>
      <c r="F65" s="2" t="s">
        <v>88</v>
      </c>
      <c r="G65" s="3" t="s">
        <v>53</v>
      </c>
      <c r="H65" s="61"/>
      <c r="I65" s="79"/>
      <c r="J65" s="79"/>
      <c r="K65" s="79"/>
      <c r="L65" s="79"/>
    </row>
    <row r="66" spans="1:12" x14ac:dyDescent="0.2">
      <c r="A66" s="56">
        <f t="shared" si="4"/>
        <v>36</v>
      </c>
      <c r="B66" s="57" t="str">
        <f t="shared" si="3"/>
        <v>Mo</v>
      </c>
      <c r="C66" s="58">
        <f t="shared" si="5"/>
        <v>45936</v>
      </c>
      <c r="D66" s="59" t="s">
        <v>87</v>
      </c>
      <c r="E66" s="60">
        <v>8</v>
      </c>
      <c r="F66" s="2" t="s">
        <v>88</v>
      </c>
      <c r="G66" s="3" t="s">
        <v>53</v>
      </c>
      <c r="H66" s="61" t="s">
        <v>169</v>
      </c>
      <c r="I66" s="79"/>
      <c r="J66" s="79"/>
      <c r="K66" s="79"/>
      <c r="L66" s="79"/>
    </row>
    <row r="67" spans="1:12" x14ac:dyDescent="0.2">
      <c r="A67" s="56">
        <f t="shared" si="4"/>
        <v>37</v>
      </c>
      <c r="B67" s="57" t="str">
        <f t="shared" si="3"/>
        <v>Di</v>
      </c>
      <c r="C67" s="58">
        <f t="shared" si="5"/>
        <v>45937</v>
      </c>
      <c r="D67" s="59" t="s">
        <v>87</v>
      </c>
      <c r="E67" s="60">
        <v>7.75</v>
      </c>
      <c r="F67" s="2" t="s">
        <v>88</v>
      </c>
      <c r="G67" s="3" t="s">
        <v>53</v>
      </c>
      <c r="H67" s="61" t="s">
        <v>168</v>
      </c>
      <c r="I67" s="79"/>
      <c r="J67" s="79"/>
      <c r="K67" s="79"/>
      <c r="L67" s="79"/>
    </row>
    <row r="68" spans="1:12" ht="28.5" x14ac:dyDescent="0.2">
      <c r="A68" s="56">
        <f t="shared" si="4"/>
        <v>38</v>
      </c>
      <c r="B68" s="57" t="str">
        <f t="shared" si="3"/>
        <v>Mi</v>
      </c>
      <c r="C68" s="58">
        <f t="shared" si="5"/>
        <v>45938</v>
      </c>
      <c r="D68" s="59" t="s">
        <v>87</v>
      </c>
      <c r="E68" s="60">
        <v>7.5</v>
      </c>
      <c r="F68" s="2" t="s">
        <v>88</v>
      </c>
      <c r="G68" s="3" t="s">
        <v>53</v>
      </c>
      <c r="H68" s="61" t="s">
        <v>170</v>
      </c>
      <c r="I68" s="79"/>
      <c r="J68" s="79"/>
      <c r="K68" s="79"/>
      <c r="L68" s="79"/>
    </row>
    <row r="69" spans="1:12" x14ac:dyDescent="0.2">
      <c r="A69" s="56">
        <f t="shared" si="4"/>
        <v>39</v>
      </c>
      <c r="B69" s="57" t="str">
        <f t="shared" si="3"/>
        <v>Do.</v>
      </c>
      <c r="C69" s="58">
        <f t="shared" si="5"/>
        <v>45939</v>
      </c>
      <c r="D69" s="59" t="s">
        <v>87</v>
      </c>
      <c r="E69" s="60">
        <v>7</v>
      </c>
      <c r="F69" s="2" t="s">
        <v>88</v>
      </c>
      <c r="G69" s="3" t="s">
        <v>53</v>
      </c>
      <c r="H69" s="61" t="s">
        <v>171</v>
      </c>
      <c r="I69" s="79"/>
      <c r="J69" s="79"/>
      <c r="K69" s="79"/>
      <c r="L69" s="79"/>
    </row>
    <row r="70" spans="1:12" x14ac:dyDescent="0.2">
      <c r="A70" s="56">
        <f t="shared" si="4"/>
        <v>40</v>
      </c>
      <c r="B70" s="57" t="str">
        <f t="shared" si="3"/>
        <v>Fr.</v>
      </c>
      <c r="C70" s="58">
        <f t="shared" si="5"/>
        <v>45940</v>
      </c>
      <c r="D70" s="59" t="s">
        <v>87</v>
      </c>
      <c r="E70" s="60">
        <v>7.75</v>
      </c>
      <c r="F70" s="2" t="s">
        <v>88</v>
      </c>
      <c r="G70" s="3" t="s">
        <v>53</v>
      </c>
      <c r="H70" s="61" t="s">
        <v>172</v>
      </c>
      <c r="I70" s="79"/>
      <c r="J70" s="79"/>
      <c r="K70" s="79"/>
      <c r="L70" s="79"/>
    </row>
    <row r="71" spans="1:12" x14ac:dyDescent="0.2">
      <c r="A71" s="56">
        <f t="shared" si="4"/>
        <v>41</v>
      </c>
      <c r="B71" s="57" t="str">
        <f t="shared" si="3"/>
        <v>Sa.</v>
      </c>
      <c r="C71" s="58">
        <f t="shared" si="5"/>
        <v>45941</v>
      </c>
      <c r="D71" s="59"/>
      <c r="E71" s="60"/>
      <c r="F71" s="2" t="s">
        <v>88</v>
      </c>
      <c r="G71" s="3" t="s">
        <v>53</v>
      </c>
      <c r="H71" s="61"/>
      <c r="I71" s="79"/>
      <c r="J71" s="79"/>
      <c r="K71" s="79"/>
      <c r="L71" s="79"/>
    </row>
    <row r="72" spans="1:12" x14ac:dyDescent="0.2">
      <c r="A72" s="56">
        <f t="shared" si="4"/>
        <v>42</v>
      </c>
      <c r="B72" s="57" t="str">
        <f t="shared" si="3"/>
        <v>So</v>
      </c>
      <c r="C72" s="58">
        <f t="shared" si="5"/>
        <v>45942</v>
      </c>
      <c r="D72" s="59"/>
      <c r="E72" s="60"/>
      <c r="F72" s="2" t="s">
        <v>88</v>
      </c>
      <c r="G72" s="3" t="s">
        <v>53</v>
      </c>
      <c r="H72" s="61"/>
      <c r="I72" s="79"/>
      <c r="J72" s="79"/>
      <c r="K72" s="79"/>
      <c r="L72" s="79"/>
    </row>
    <row r="73" spans="1:12" x14ac:dyDescent="0.2">
      <c r="A73" s="56">
        <f t="shared" si="4"/>
        <v>43</v>
      </c>
      <c r="B73" s="57" t="str">
        <f t="shared" si="3"/>
        <v>Mo</v>
      </c>
      <c r="C73" s="58">
        <f t="shared" si="5"/>
        <v>45943</v>
      </c>
      <c r="D73" s="59" t="s">
        <v>87</v>
      </c>
      <c r="E73" s="60">
        <v>8</v>
      </c>
      <c r="F73" s="2" t="s">
        <v>88</v>
      </c>
      <c r="G73" s="3" t="s">
        <v>53</v>
      </c>
      <c r="H73" s="61" t="s">
        <v>173</v>
      </c>
      <c r="I73" s="79"/>
      <c r="J73" s="79"/>
      <c r="K73" s="79"/>
      <c r="L73" s="79"/>
    </row>
    <row r="74" spans="1:12" ht="28.5" x14ac:dyDescent="0.2">
      <c r="A74" s="56">
        <f t="shared" si="4"/>
        <v>44</v>
      </c>
      <c r="B74" s="57" t="str">
        <f t="shared" si="3"/>
        <v>Di</v>
      </c>
      <c r="C74" s="58">
        <f t="shared" si="5"/>
        <v>45944</v>
      </c>
      <c r="D74" s="59" t="s">
        <v>87</v>
      </c>
      <c r="E74" s="60">
        <v>8</v>
      </c>
      <c r="F74" s="2" t="s">
        <v>88</v>
      </c>
      <c r="G74" s="3" t="s">
        <v>53</v>
      </c>
      <c r="H74" s="61" t="s">
        <v>174</v>
      </c>
      <c r="I74" s="79"/>
      <c r="J74" s="79"/>
      <c r="K74" s="79"/>
      <c r="L74" s="79"/>
    </row>
    <row r="75" spans="1:12" x14ac:dyDescent="0.2">
      <c r="A75" s="56">
        <f t="shared" si="4"/>
        <v>45</v>
      </c>
      <c r="B75" s="57" t="str">
        <f t="shared" si="3"/>
        <v>Mi</v>
      </c>
      <c r="C75" s="58">
        <f t="shared" si="5"/>
        <v>45945</v>
      </c>
      <c r="D75" s="59" t="s">
        <v>87</v>
      </c>
      <c r="E75" s="60">
        <v>8</v>
      </c>
      <c r="F75" s="2" t="s">
        <v>88</v>
      </c>
      <c r="G75" s="3" t="s">
        <v>53</v>
      </c>
      <c r="H75" s="61" t="s">
        <v>175</v>
      </c>
      <c r="I75" s="79"/>
      <c r="J75" s="79"/>
      <c r="K75" s="79"/>
      <c r="L75" s="79"/>
    </row>
    <row r="76" spans="1:12" ht="28.5" x14ac:dyDescent="0.2">
      <c r="A76" s="56">
        <f t="shared" si="4"/>
        <v>46</v>
      </c>
      <c r="B76" s="57" t="str">
        <f t="shared" si="3"/>
        <v>Do.</v>
      </c>
      <c r="C76" s="58">
        <f t="shared" si="5"/>
        <v>45946</v>
      </c>
      <c r="D76" s="59" t="s">
        <v>87</v>
      </c>
      <c r="E76" s="60">
        <v>8</v>
      </c>
      <c r="F76" s="2" t="s">
        <v>88</v>
      </c>
      <c r="G76" s="3" t="s">
        <v>53</v>
      </c>
      <c r="H76" s="61" t="s">
        <v>176</v>
      </c>
      <c r="I76" s="79"/>
      <c r="J76" s="79"/>
      <c r="K76" s="79"/>
      <c r="L76" s="79"/>
    </row>
    <row r="77" spans="1:12" x14ac:dyDescent="0.2">
      <c r="A77" s="56">
        <f t="shared" si="4"/>
        <v>47</v>
      </c>
      <c r="B77" s="57" t="str">
        <f t="shared" si="3"/>
        <v>Fr.</v>
      </c>
      <c r="C77" s="58">
        <f t="shared" si="5"/>
        <v>45947</v>
      </c>
      <c r="D77" s="59" t="s">
        <v>87</v>
      </c>
      <c r="E77" s="60">
        <v>7.5</v>
      </c>
      <c r="F77" s="2" t="s">
        <v>88</v>
      </c>
      <c r="G77" s="3" t="s">
        <v>53</v>
      </c>
      <c r="H77" s="61" t="s">
        <v>177</v>
      </c>
      <c r="I77" s="79"/>
      <c r="J77" s="79"/>
      <c r="K77" s="79"/>
      <c r="L77" s="79"/>
    </row>
    <row r="78" spans="1:12" x14ac:dyDescent="0.2">
      <c r="A78" s="56">
        <f t="shared" si="4"/>
        <v>48</v>
      </c>
      <c r="B78" s="57" t="str">
        <f t="shared" si="3"/>
        <v>Sa.</v>
      </c>
      <c r="C78" s="58">
        <f t="shared" si="5"/>
        <v>45948</v>
      </c>
      <c r="D78" s="59"/>
      <c r="E78" s="60"/>
      <c r="F78" s="2" t="s">
        <v>88</v>
      </c>
      <c r="G78" s="3" t="s">
        <v>53</v>
      </c>
      <c r="H78" s="61"/>
      <c r="I78" s="79"/>
      <c r="J78" s="79"/>
      <c r="K78" s="79"/>
      <c r="L78" s="79"/>
    </row>
    <row r="79" spans="1:12" x14ac:dyDescent="0.2">
      <c r="A79" s="56">
        <f t="shared" si="4"/>
        <v>49</v>
      </c>
      <c r="B79" s="57" t="str">
        <f t="shared" si="3"/>
        <v>So</v>
      </c>
      <c r="C79" s="58">
        <f t="shared" si="5"/>
        <v>45949</v>
      </c>
      <c r="D79" s="59"/>
      <c r="E79" s="60"/>
      <c r="F79" s="2" t="s">
        <v>88</v>
      </c>
      <c r="G79" s="3" t="s">
        <v>53</v>
      </c>
      <c r="H79" s="61"/>
      <c r="I79" s="79"/>
      <c r="J79" s="79"/>
      <c r="K79" s="79"/>
      <c r="L79" s="79"/>
    </row>
    <row r="80" spans="1:12" x14ac:dyDescent="0.2">
      <c r="A80" s="56">
        <f t="shared" si="4"/>
        <v>50</v>
      </c>
      <c r="B80" s="57" t="str">
        <f t="shared" si="3"/>
        <v>Mo</v>
      </c>
      <c r="C80" s="58">
        <f t="shared" si="5"/>
        <v>45950</v>
      </c>
      <c r="D80" s="59" t="s">
        <v>87</v>
      </c>
      <c r="E80" s="60">
        <v>7.5</v>
      </c>
      <c r="F80" s="2" t="s">
        <v>88</v>
      </c>
      <c r="G80" s="3" t="s">
        <v>53</v>
      </c>
      <c r="H80" s="61" t="s">
        <v>178</v>
      </c>
      <c r="I80" s="79"/>
      <c r="J80" s="79"/>
      <c r="K80" s="79"/>
      <c r="L80" s="79"/>
    </row>
    <row r="81" spans="1:27" x14ac:dyDescent="0.2">
      <c r="A81" s="56">
        <f t="shared" si="4"/>
        <v>51</v>
      </c>
      <c r="B81" s="57" t="str">
        <f t="shared" si="3"/>
        <v>Di</v>
      </c>
      <c r="C81" s="58">
        <f t="shared" si="5"/>
        <v>45951</v>
      </c>
      <c r="D81" s="59" t="s">
        <v>87</v>
      </c>
      <c r="E81" s="60">
        <v>8</v>
      </c>
      <c r="F81" s="2" t="s">
        <v>88</v>
      </c>
      <c r="G81" s="3" t="s">
        <v>53</v>
      </c>
      <c r="H81" s="61" t="s">
        <v>179</v>
      </c>
      <c r="I81" s="79"/>
      <c r="J81" s="79"/>
      <c r="K81" s="79"/>
      <c r="L81" s="79"/>
    </row>
    <row r="82" spans="1:27" x14ac:dyDescent="0.2">
      <c r="A82" s="56">
        <f t="shared" si="4"/>
        <v>52</v>
      </c>
      <c r="B82" s="57" t="str">
        <f t="shared" si="3"/>
        <v>Mi</v>
      </c>
      <c r="C82" s="58">
        <f t="shared" si="5"/>
        <v>45952</v>
      </c>
      <c r="D82" s="59" t="s">
        <v>87</v>
      </c>
      <c r="E82" s="87">
        <v>8</v>
      </c>
      <c r="F82" s="2" t="s">
        <v>88</v>
      </c>
      <c r="G82" s="3" t="s">
        <v>53</v>
      </c>
      <c r="H82" s="61" t="s">
        <v>180</v>
      </c>
      <c r="I82" s="79"/>
      <c r="J82" s="79"/>
      <c r="K82" s="79"/>
      <c r="L82" s="79"/>
    </row>
    <row r="83" spans="1:27" x14ac:dyDescent="0.2">
      <c r="A83" s="56">
        <f t="shared" si="4"/>
        <v>53</v>
      </c>
      <c r="B83" s="57" t="str">
        <f t="shared" si="3"/>
        <v>Do.</v>
      </c>
      <c r="C83" s="58">
        <f t="shared" si="5"/>
        <v>45953</v>
      </c>
      <c r="D83" s="59" t="s">
        <v>87</v>
      </c>
      <c r="E83" s="87">
        <v>8</v>
      </c>
      <c r="F83" s="2" t="s">
        <v>88</v>
      </c>
      <c r="G83" s="3" t="s">
        <v>53</v>
      </c>
      <c r="H83" s="61" t="s">
        <v>181</v>
      </c>
      <c r="I83" s="79"/>
      <c r="J83" s="79"/>
      <c r="K83" s="79"/>
      <c r="L83" s="79"/>
    </row>
    <row r="84" spans="1:27" x14ac:dyDescent="0.2">
      <c r="A84" s="56">
        <f t="shared" si="4"/>
        <v>54</v>
      </c>
      <c r="B84" s="57" t="str">
        <f t="shared" si="3"/>
        <v>Fr.</v>
      </c>
      <c r="C84" s="58">
        <f t="shared" si="5"/>
        <v>45954</v>
      </c>
      <c r="D84" s="59" t="s">
        <v>87</v>
      </c>
      <c r="E84" s="60">
        <v>7.5</v>
      </c>
      <c r="F84" s="2" t="s">
        <v>88</v>
      </c>
      <c r="G84" s="3" t="s">
        <v>53</v>
      </c>
      <c r="H84" s="61" t="s">
        <v>182</v>
      </c>
      <c r="I84" s="79"/>
      <c r="J84" s="79"/>
      <c r="K84" s="79"/>
      <c r="L84" s="79"/>
    </row>
    <row r="85" spans="1:27" x14ac:dyDescent="0.2">
      <c r="A85" s="56">
        <f t="shared" si="4"/>
        <v>55</v>
      </c>
      <c r="B85" s="57" t="str">
        <f t="shared" si="3"/>
        <v>Sa.</v>
      </c>
      <c r="C85" s="58">
        <f t="shared" si="5"/>
        <v>45955</v>
      </c>
      <c r="D85" s="59"/>
      <c r="E85" s="60"/>
      <c r="F85" s="2" t="s">
        <v>88</v>
      </c>
      <c r="G85" s="3" t="s">
        <v>53</v>
      </c>
      <c r="H85" s="61"/>
      <c r="I85" s="79"/>
      <c r="J85" s="79"/>
      <c r="K85" s="79"/>
      <c r="L85" s="79"/>
    </row>
    <row r="86" spans="1:27" ht="15" thickBot="1" x14ac:dyDescent="0.25">
      <c r="A86" s="63">
        <f>A85+1</f>
        <v>56</v>
      </c>
      <c r="B86" s="64" t="str">
        <f t="shared" si="3"/>
        <v>So</v>
      </c>
      <c r="C86" s="65">
        <f t="shared" si="5"/>
        <v>45956</v>
      </c>
      <c r="D86" s="66"/>
      <c r="E86" s="67"/>
      <c r="F86" s="11" t="s">
        <v>88</v>
      </c>
      <c r="G86" s="13" t="s">
        <v>53</v>
      </c>
      <c r="H86" s="68"/>
      <c r="I86" s="79"/>
      <c r="J86" s="79"/>
      <c r="K86" s="79"/>
      <c r="L86" s="79"/>
      <c r="N86" s="47"/>
      <c r="O86" s="48" t="s">
        <v>105</v>
      </c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x14ac:dyDescent="0.2">
      <c r="A87" s="69"/>
      <c r="B87" s="69"/>
      <c r="C87" s="69"/>
      <c r="D87" s="69"/>
      <c r="E87" s="69"/>
      <c r="F87" s="24"/>
      <c r="G87" s="24"/>
      <c r="H87" s="69"/>
      <c r="I87" s="69"/>
      <c r="J87" s="69"/>
      <c r="K87" s="69"/>
      <c r="L87" s="69"/>
      <c r="N87" s="46"/>
      <c r="O87" s="1" t="s">
        <v>104</v>
      </c>
    </row>
    <row r="88" spans="1:27" x14ac:dyDescent="0.2">
      <c r="A88" s="98" t="str">
        <f>Student_Name</f>
        <v>Dirnberger</v>
      </c>
      <c r="B88" s="98"/>
      <c r="C88" s="98"/>
      <c r="D88" s="98"/>
      <c r="E88" s="98"/>
      <c r="F88" s="99"/>
      <c r="G88" s="26"/>
      <c r="H88" s="77" t="str">
        <f>Ausbildungsbetrieb_Unternehmen</f>
        <v>Continental Automotiv Technologies GmbH</v>
      </c>
      <c r="I88" s="71"/>
      <c r="J88" s="71"/>
      <c r="K88" s="71"/>
      <c r="L88" s="71"/>
    </row>
    <row r="89" spans="1:27" ht="7.5" customHeight="1" x14ac:dyDescent="0.2">
      <c r="A89" s="70" t="s">
        <v>31</v>
      </c>
      <c r="B89" s="70"/>
      <c r="C89" s="70"/>
      <c r="D89" s="70"/>
      <c r="E89" s="70"/>
      <c r="F89" s="28"/>
      <c r="G89" s="28"/>
      <c r="H89" s="70" t="s">
        <v>32</v>
      </c>
      <c r="I89" s="70"/>
      <c r="J89" s="70"/>
      <c r="K89" s="70"/>
      <c r="L89" s="70"/>
    </row>
    <row r="90" spans="1:27" ht="7.5" customHeight="1" x14ac:dyDescent="0.2">
      <c r="A90" s="71"/>
      <c r="B90" s="71"/>
      <c r="C90" s="71"/>
      <c r="D90" s="71"/>
      <c r="E90" s="71"/>
      <c r="F90" s="26"/>
      <c r="G90" s="26"/>
      <c r="H90" s="71"/>
      <c r="I90" s="71"/>
      <c r="J90" s="71"/>
      <c r="K90" s="71"/>
      <c r="L90" s="71"/>
    </row>
    <row r="91" spans="1:27" x14ac:dyDescent="0.2">
      <c r="A91" s="98" t="str">
        <f>Student_Vorname</f>
        <v>Hubert</v>
      </c>
      <c r="B91" s="98"/>
      <c r="C91" s="98"/>
      <c r="D91" s="98"/>
      <c r="E91" s="98"/>
      <c r="F91" s="99"/>
      <c r="G91" s="26"/>
      <c r="H91" s="77" t="str">
        <f>CONCATENATE(Ausbildungsbetrieb_Vorname, " ", Ausbildungsbetrieb_Name)</f>
        <v>Christian Ruppel</v>
      </c>
      <c r="I91" s="71"/>
      <c r="J91" s="71"/>
      <c r="K91" s="71"/>
      <c r="L91" s="71"/>
    </row>
    <row r="92" spans="1:27" ht="7.5" customHeight="1" x14ac:dyDescent="0.2">
      <c r="A92" s="70" t="s">
        <v>34</v>
      </c>
      <c r="B92" s="70"/>
      <c r="C92" s="70"/>
      <c r="D92" s="70"/>
      <c r="E92" s="70"/>
      <c r="F92" s="28"/>
      <c r="G92" s="28"/>
      <c r="H92" s="70" t="s">
        <v>78</v>
      </c>
      <c r="I92" s="70"/>
      <c r="J92" s="70"/>
      <c r="K92" s="70"/>
      <c r="L92" s="70"/>
    </row>
    <row r="93" spans="1:27" ht="7.5" customHeight="1" x14ac:dyDescent="0.2">
      <c r="A93" s="71"/>
      <c r="B93" s="71"/>
      <c r="C93" s="71"/>
      <c r="D93" s="71"/>
      <c r="E93" s="71"/>
      <c r="F93" s="26"/>
      <c r="G93" s="26"/>
      <c r="H93" s="71"/>
      <c r="I93" s="71"/>
      <c r="J93" s="71"/>
      <c r="K93" s="71"/>
      <c r="L93" s="71"/>
    </row>
    <row r="94" spans="1:27" x14ac:dyDescent="0.2">
      <c r="A94" s="98" t="str">
        <f>Student_Studiengruppe</f>
        <v>MB8</v>
      </c>
      <c r="B94" s="98"/>
      <c r="C94" s="98"/>
      <c r="D94" s="98"/>
      <c r="E94" s="98"/>
      <c r="F94" s="99"/>
      <c r="G94" s="26"/>
      <c r="H94" s="77" t="str">
        <f>Ausbildungsbetrieb_Email</f>
        <v>christian.ruppel@continental-corporaion.com</v>
      </c>
      <c r="I94" s="71"/>
      <c r="J94" s="71"/>
      <c r="K94" s="71"/>
      <c r="L94" s="71"/>
    </row>
    <row r="95" spans="1:27" ht="7.5" customHeight="1" x14ac:dyDescent="0.2">
      <c r="A95" s="70" t="s">
        <v>38</v>
      </c>
      <c r="B95" s="70"/>
      <c r="C95" s="70"/>
      <c r="D95" s="70"/>
      <c r="E95" s="70"/>
      <c r="F95" s="28"/>
      <c r="G95" s="28"/>
      <c r="H95" s="70" t="s">
        <v>79</v>
      </c>
      <c r="I95" s="70"/>
      <c r="J95" s="70"/>
      <c r="K95" s="70"/>
      <c r="L95" s="70"/>
    </row>
    <row r="96" spans="1:27" ht="7.5" customHeight="1" x14ac:dyDescent="0.2">
      <c r="A96" s="71"/>
      <c r="B96" s="71"/>
      <c r="C96" s="71"/>
      <c r="D96" s="71"/>
      <c r="E96" s="71"/>
      <c r="F96" s="26"/>
      <c r="G96" s="26"/>
      <c r="H96" s="71"/>
      <c r="I96" s="71"/>
      <c r="J96" s="71"/>
      <c r="K96" s="71"/>
      <c r="L96" s="71"/>
    </row>
    <row r="97" spans="1:12" x14ac:dyDescent="0.2">
      <c r="A97" s="98">
        <f>Student_Matrikelnummer</f>
        <v>3315035</v>
      </c>
      <c r="B97" s="98"/>
      <c r="C97" s="98"/>
      <c r="D97" s="98"/>
      <c r="E97" s="98"/>
      <c r="F97" s="99"/>
      <c r="G97" s="26"/>
      <c r="H97" s="77" t="str">
        <f>Ausbildungsbetrieb_Telefon</f>
        <v>0499417903612</v>
      </c>
      <c r="I97" s="71"/>
      <c r="J97" s="71"/>
      <c r="K97" s="71"/>
      <c r="L97" s="71"/>
    </row>
    <row r="98" spans="1:12" ht="7.5" customHeight="1" x14ac:dyDescent="0.2">
      <c r="A98" s="70" t="s">
        <v>41</v>
      </c>
      <c r="B98" s="70"/>
      <c r="C98" s="70"/>
      <c r="D98" s="70"/>
      <c r="E98" s="70"/>
      <c r="F98" s="28"/>
      <c r="G98" s="28"/>
      <c r="H98" s="70" t="s">
        <v>80</v>
      </c>
      <c r="I98" s="70"/>
      <c r="J98" s="70"/>
      <c r="K98" s="70"/>
      <c r="L98" s="70"/>
    </row>
    <row r="99" spans="1:12" ht="7.5" customHeight="1" thickBot="1" x14ac:dyDescent="0.25">
      <c r="A99" s="71"/>
      <c r="B99" s="71"/>
      <c r="C99" s="71"/>
      <c r="D99" s="71"/>
      <c r="E99" s="71"/>
      <c r="F99" s="26"/>
      <c r="G99" s="26"/>
      <c r="H99" s="71"/>
      <c r="I99" s="71"/>
      <c r="J99" s="71"/>
      <c r="K99" s="71"/>
      <c r="L99" s="71"/>
    </row>
    <row r="100" spans="1:12" x14ac:dyDescent="0.2">
      <c r="A100" s="72"/>
      <c r="B100" s="73"/>
      <c r="C100" s="73"/>
      <c r="D100" s="73"/>
      <c r="E100" s="73" t="s">
        <v>81</v>
      </c>
      <c r="F100" s="15"/>
      <c r="G100" s="15"/>
      <c r="H100" s="74" t="s">
        <v>82</v>
      </c>
      <c r="I100" s="69"/>
      <c r="J100" s="69"/>
      <c r="K100" s="69"/>
      <c r="L100" s="69"/>
    </row>
    <row r="101" spans="1:12" ht="45" customHeight="1" thickBot="1" x14ac:dyDescent="0.25">
      <c r="A101" s="100" t="s">
        <v>83</v>
      </c>
      <c r="B101" s="101"/>
      <c r="C101" s="75" t="s">
        <v>84</v>
      </c>
      <c r="D101" s="75"/>
      <c r="E101" s="102" t="s">
        <v>85</v>
      </c>
      <c r="F101" s="103"/>
      <c r="G101" s="18"/>
      <c r="H101" s="76" t="s">
        <v>86</v>
      </c>
      <c r="I101" s="69"/>
      <c r="J101" s="69"/>
      <c r="K101" s="69"/>
      <c r="L101" s="69"/>
    </row>
    <row r="102" spans="1:12" ht="15" thickBot="1" x14ac:dyDescent="0.25">
      <c r="A102" s="50">
        <f>A86+1</f>
        <v>57</v>
      </c>
      <c r="B102" s="51" t="str">
        <f>IF(WEEKDAY(C102,2)=1,"Mo",IF(WEEKDAY(C102,2)=2,"Di",IF(WEEKDAY(C102,2)=3,"Mi",IF(WEEKDAY(C102,2)=4,"Do.",IF(WEEKDAY(C102,2)=5,"Fr.",IF(WEEKDAY(C102,2)=6,"Sa.","So"))))))</f>
        <v>Mo</v>
      </c>
      <c r="C102" s="52">
        <f>C86+1</f>
        <v>45957</v>
      </c>
      <c r="D102" s="53" t="s">
        <v>87</v>
      </c>
      <c r="E102" s="54">
        <v>8</v>
      </c>
      <c r="F102" s="6" t="s">
        <v>88</v>
      </c>
      <c r="G102" s="8" t="s">
        <v>53</v>
      </c>
      <c r="H102" s="55" t="s">
        <v>189</v>
      </c>
      <c r="I102" s="79"/>
      <c r="J102" s="79"/>
      <c r="K102" s="79"/>
      <c r="L102" s="79"/>
    </row>
    <row r="103" spans="1:12" x14ac:dyDescent="0.2">
      <c r="A103" s="56">
        <f>A102+1</f>
        <v>58</v>
      </c>
      <c r="B103" s="57" t="str">
        <f t="shared" ref="B103:B129" si="6">IF(WEEKDAY(C103,2)=1,"Mo",IF(WEEKDAY(C103,2)=2,"Di",IF(WEEKDAY(C103,2)=3,"Mi",IF(WEEKDAY(C103,2)=4,"Do.",IF(WEEKDAY(C103,2)=5,"Fr.",IF(WEEKDAY(C103,2)=6,"Sa.","So"))))))</f>
        <v>Di</v>
      </c>
      <c r="C103" s="58">
        <f>C102+1</f>
        <v>45958</v>
      </c>
      <c r="D103" s="59" t="s">
        <v>87</v>
      </c>
      <c r="E103" s="60">
        <v>7.75</v>
      </c>
      <c r="F103" s="2" t="s">
        <v>88</v>
      </c>
      <c r="G103" s="3" t="s">
        <v>53</v>
      </c>
      <c r="H103" s="55" t="s">
        <v>189</v>
      </c>
      <c r="I103" s="79"/>
      <c r="J103" s="79"/>
      <c r="K103" s="79"/>
      <c r="L103" s="79"/>
    </row>
    <row r="104" spans="1:12" x14ac:dyDescent="0.2">
      <c r="A104" s="56">
        <f t="shared" ref="A104:A128" si="7">A103+1</f>
        <v>59</v>
      </c>
      <c r="B104" s="57" t="str">
        <f t="shared" si="6"/>
        <v>Mi</v>
      </c>
      <c r="C104" s="58">
        <f t="shared" ref="C104:C129" si="8">C103+1</f>
        <v>45959</v>
      </c>
      <c r="D104" s="59" t="s">
        <v>87</v>
      </c>
      <c r="E104" s="60">
        <v>9</v>
      </c>
      <c r="F104" s="2" t="s">
        <v>88</v>
      </c>
      <c r="G104" s="3" t="s">
        <v>53</v>
      </c>
      <c r="H104" s="61" t="s">
        <v>185</v>
      </c>
      <c r="I104" s="79"/>
      <c r="J104" s="79"/>
      <c r="K104" s="79"/>
      <c r="L104" s="79"/>
    </row>
    <row r="105" spans="1:12" x14ac:dyDescent="0.2">
      <c r="A105" s="56">
        <f t="shared" si="7"/>
        <v>60</v>
      </c>
      <c r="B105" s="57" t="str">
        <f t="shared" si="6"/>
        <v>Do.</v>
      </c>
      <c r="C105" s="58">
        <f t="shared" si="8"/>
        <v>45960</v>
      </c>
      <c r="D105" s="59" t="s">
        <v>87</v>
      </c>
      <c r="E105" s="60">
        <v>7.75</v>
      </c>
      <c r="F105" s="2" t="s">
        <v>88</v>
      </c>
      <c r="G105" s="3" t="s">
        <v>53</v>
      </c>
      <c r="H105" s="61" t="s">
        <v>186</v>
      </c>
      <c r="I105" s="79"/>
      <c r="J105" s="79"/>
      <c r="K105" s="79"/>
      <c r="L105" s="79"/>
    </row>
    <row r="106" spans="1:12" x14ac:dyDescent="0.2">
      <c r="A106" s="56">
        <f t="shared" si="7"/>
        <v>61</v>
      </c>
      <c r="B106" s="57" t="str">
        <f t="shared" si="6"/>
        <v>Fr.</v>
      </c>
      <c r="C106" s="58">
        <f t="shared" si="8"/>
        <v>45961</v>
      </c>
      <c r="D106" s="59" t="s">
        <v>87</v>
      </c>
      <c r="E106" s="60">
        <v>6</v>
      </c>
      <c r="F106" s="2" t="s">
        <v>88</v>
      </c>
      <c r="G106" s="3" t="s">
        <v>53</v>
      </c>
      <c r="H106" s="61" t="s">
        <v>188</v>
      </c>
      <c r="I106" s="79"/>
      <c r="J106" s="79"/>
      <c r="K106" s="79"/>
      <c r="L106" s="79"/>
    </row>
    <row r="107" spans="1:12" x14ac:dyDescent="0.2">
      <c r="A107" s="56">
        <f t="shared" si="7"/>
        <v>62</v>
      </c>
      <c r="B107" s="57" t="str">
        <f t="shared" si="6"/>
        <v>Sa.</v>
      </c>
      <c r="C107" s="58">
        <f t="shared" si="8"/>
        <v>45962</v>
      </c>
      <c r="D107" s="59"/>
      <c r="E107" s="60"/>
      <c r="F107" s="2" t="s">
        <v>88</v>
      </c>
      <c r="G107" s="3" t="s">
        <v>53</v>
      </c>
      <c r="H107" s="85"/>
      <c r="I107" s="79"/>
      <c r="J107" s="79"/>
      <c r="K107" s="79"/>
      <c r="L107" s="79"/>
    </row>
    <row r="108" spans="1:12" x14ac:dyDescent="0.2">
      <c r="A108" s="56">
        <f t="shared" si="7"/>
        <v>63</v>
      </c>
      <c r="B108" s="57" t="str">
        <f t="shared" si="6"/>
        <v>So</v>
      </c>
      <c r="C108" s="58">
        <f t="shared" si="8"/>
        <v>45963</v>
      </c>
      <c r="D108" s="59"/>
      <c r="E108" s="60"/>
      <c r="F108" s="2" t="s">
        <v>88</v>
      </c>
      <c r="G108" s="3" t="s">
        <v>53</v>
      </c>
      <c r="H108" s="61"/>
      <c r="I108" s="79"/>
      <c r="J108" s="79"/>
      <c r="K108" s="79"/>
      <c r="L108" s="79"/>
    </row>
    <row r="109" spans="1:12" x14ac:dyDescent="0.2">
      <c r="A109" s="56">
        <f t="shared" si="7"/>
        <v>64</v>
      </c>
      <c r="B109" s="57" t="str">
        <f t="shared" si="6"/>
        <v>Mo</v>
      </c>
      <c r="C109" s="58">
        <f t="shared" si="8"/>
        <v>45964</v>
      </c>
      <c r="D109" s="59" t="s">
        <v>87</v>
      </c>
      <c r="E109" s="60">
        <v>7.25</v>
      </c>
      <c r="F109" s="2" t="s">
        <v>88</v>
      </c>
      <c r="G109" s="3" t="s">
        <v>53</v>
      </c>
      <c r="H109" s="61" t="s">
        <v>187</v>
      </c>
      <c r="I109" s="79"/>
      <c r="J109" s="79"/>
      <c r="K109" s="79"/>
      <c r="L109" s="79"/>
    </row>
    <row r="110" spans="1:12" ht="18" customHeight="1" x14ac:dyDescent="0.2">
      <c r="A110" s="56">
        <f t="shared" si="7"/>
        <v>65</v>
      </c>
      <c r="B110" s="57" t="str">
        <f t="shared" si="6"/>
        <v>Di</v>
      </c>
      <c r="C110" s="58">
        <f t="shared" si="8"/>
        <v>45965</v>
      </c>
      <c r="D110" s="59" t="s">
        <v>87</v>
      </c>
      <c r="E110" s="60">
        <v>8</v>
      </c>
      <c r="F110" s="2" t="s">
        <v>88</v>
      </c>
      <c r="G110" s="3" t="s">
        <v>53</v>
      </c>
      <c r="H110" s="61" t="s">
        <v>184</v>
      </c>
      <c r="I110" s="79"/>
      <c r="J110" s="79"/>
      <c r="K110" s="79"/>
      <c r="L110" s="79"/>
    </row>
    <row r="111" spans="1:12" x14ac:dyDescent="0.2">
      <c r="A111" s="56">
        <f t="shared" si="7"/>
        <v>66</v>
      </c>
      <c r="B111" s="57" t="str">
        <f t="shared" si="6"/>
        <v>Mi</v>
      </c>
      <c r="C111" s="58">
        <f t="shared" si="8"/>
        <v>45966</v>
      </c>
      <c r="D111" s="59" t="s">
        <v>87</v>
      </c>
      <c r="E111" s="60">
        <v>7</v>
      </c>
      <c r="F111" s="2" t="s">
        <v>88</v>
      </c>
      <c r="G111" s="3" t="s">
        <v>53</v>
      </c>
      <c r="H111" s="61" t="s">
        <v>190</v>
      </c>
      <c r="I111" s="79"/>
      <c r="J111" s="79"/>
      <c r="K111" s="79"/>
      <c r="L111" s="79"/>
    </row>
    <row r="112" spans="1:12" x14ac:dyDescent="0.2">
      <c r="A112" s="56">
        <f t="shared" si="7"/>
        <v>67</v>
      </c>
      <c r="B112" s="57" t="str">
        <f t="shared" si="6"/>
        <v>Do.</v>
      </c>
      <c r="C112" s="58">
        <f t="shared" si="8"/>
        <v>45967</v>
      </c>
      <c r="D112" s="59" t="s">
        <v>87</v>
      </c>
      <c r="E112" s="60">
        <v>7</v>
      </c>
      <c r="F112" s="2" t="s">
        <v>88</v>
      </c>
      <c r="G112" s="3" t="s">
        <v>53</v>
      </c>
      <c r="H112" s="61" t="s">
        <v>191</v>
      </c>
      <c r="I112" s="79"/>
      <c r="J112" s="79"/>
      <c r="K112" s="79"/>
      <c r="L112" s="79"/>
    </row>
    <row r="113" spans="1:12" x14ac:dyDescent="0.2">
      <c r="A113" s="56">
        <f t="shared" si="7"/>
        <v>68</v>
      </c>
      <c r="B113" s="57" t="str">
        <f t="shared" si="6"/>
        <v>Fr.</v>
      </c>
      <c r="C113" s="58">
        <f t="shared" si="8"/>
        <v>45968</v>
      </c>
      <c r="D113" s="59" t="s">
        <v>87</v>
      </c>
      <c r="E113" s="60">
        <v>6</v>
      </c>
      <c r="F113" s="2" t="s">
        <v>88</v>
      </c>
      <c r="G113" s="3" t="s">
        <v>53</v>
      </c>
      <c r="H113" s="61" t="s">
        <v>192</v>
      </c>
      <c r="I113" s="79"/>
      <c r="J113" s="79"/>
      <c r="K113" s="79"/>
      <c r="L113" s="79"/>
    </row>
    <row r="114" spans="1:12" x14ac:dyDescent="0.2">
      <c r="A114" s="56">
        <f t="shared" si="7"/>
        <v>69</v>
      </c>
      <c r="B114" s="57" t="str">
        <f t="shared" si="6"/>
        <v>Sa.</v>
      </c>
      <c r="C114" s="58">
        <f t="shared" si="8"/>
        <v>45969</v>
      </c>
      <c r="D114" s="59"/>
      <c r="E114" s="60"/>
      <c r="F114" s="2" t="s">
        <v>88</v>
      </c>
      <c r="G114" s="3" t="s">
        <v>53</v>
      </c>
      <c r="H114" s="85"/>
      <c r="I114" s="79"/>
      <c r="J114" s="79"/>
      <c r="K114" s="79"/>
      <c r="L114" s="79"/>
    </row>
    <row r="115" spans="1:12" x14ac:dyDescent="0.2">
      <c r="A115" s="56">
        <f t="shared" si="7"/>
        <v>70</v>
      </c>
      <c r="B115" s="57" t="str">
        <f t="shared" si="6"/>
        <v>So</v>
      </c>
      <c r="C115" s="58">
        <f t="shared" si="8"/>
        <v>45970</v>
      </c>
      <c r="D115" s="59"/>
      <c r="E115" s="60"/>
      <c r="F115" s="2" t="s">
        <v>88</v>
      </c>
      <c r="G115" s="3" t="s">
        <v>53</v>
      </c>
      <c r="H115" s="84"/>
      <c r="I115" s="79"/>
      <c r="J115" s="79"/>
      <c r="K115" s="79"/>
      <c r="L115" s="79"/>
    </row>
    <row r="116" spans="1:12" x14ac:dyDescent="0.2">
      <c r="A116" s="56">
        <f t="shared" si="7"/>
        <v>71</v>
      </c>
      <c r="B116" s="57" t="str">
        <f t="shared" si="6"/>
        <v>Mo</v>
      </c>
      <c r="C116" s="58">
        <f t="shared" si="8"/>
        <v>45971</v>
      </c>
      <c r="D116" s="59" t="s">
        <v>87</v>
      </c>
      <c r="E116" s="60">
        <v>8</v>
      </c>
      <c r="F116" s="2" t="s">
        <v>88</v>
      </c>
      <c r="G116" s="3" t="s">
        <v>53</v>
      </c>
      <c r="H116" s="61" t="s">
        <v>193</v>
      </c>
      <c r="I116" s="79"/>
      <c r="J116" s="79"/>
      <c r="K116" s="79"/>
      <c r="L116" s="79"/>
    </row>
    <row r="117" spans="1:12" x14ac:dyDescent="0.2">
      <c r="A117" s="56">
        <f t="shared" si="7"/>
        <v>72</v>
      </c>
      <c r="B117" s="57" t="str">
        <f t="shared" si="6"/>
        <v>Di</v>
      </c>
      <c r="C117" s="58">
        <f t="shared" si="8"/>
        <v>45972</v>
      </c>
      <c r="D117" s="59" t="s">
        <v>87</v>
      </c>
      <c r="E117" s="60">
        <v>8</v>
      </c>
      <c r="F117" s="2" t="s">
        <v>88</v>
      </c>
      <c r="G117" s="3" t="s">
        <v>53</v>
      </c>
      <c r="H117" s="61" t="s">
        <v>194</v>
      </c>
      <c r="I117" s="79"/>
      <c r="J117" s="79"/>
      <c r="K117" s="79"/>
      <c r="L117" s="79"/>
    </row>
    <row r="118" spans="1:12" x14ac:dyDescent="0.2">
      <c r="A118" s="56">
        <f t="shared" si="7"/>
        <v>73</v>
      </c>
      <c r="B118" s="57" t="str">
        <f t="shared" si="6"/>
        <v>Mi</v>
      </c>
      <c r="C118" s="58">
        <f t="shared" si="8"/>
        <v>45973</v>
      </c>
      <c r="D118" s="59" t="s">
        <v>87</v>
      </c>
      <c r="E118" s="60">
        <v>8</v>
      </c>
      <c r="F118" s="2" t="s">
        <v>88</v>
      </c>
      <c r="G118" s="3" t="s">
        <v>53</v>
      </c>
      <c r="H118" s="61" t="s">
        <v>196</v>
      </c>
      <c r="I118" s="79"/>
      <c r="J118" s="79"/>
      <c r="K118" s="79"/>
      <c r="L118" s="79"/>
    </row>
    <row r="119" spans="1:12" x14ac:dyDescent="0.2">
      <c r="A119" s="56">
        <f t="shared" si="7"/>
        <v>74</v>
      </c>
      <c r="B119" s="57" t="str">
        <f t="shared" si="6"/>
        <v>Do.</v>
      </c>
      <c r="C119" s="58">
        <f t="shared" si="8"/>
        <v>45974</v>
      </c>
      <c r="D119" s="59" t="s">
        <v>87</v>
      </c>
      <c r="E119" s="60">
        <v>8</v>
      </c>
      <c r="F119" s="2" t="s">
        <v>88</v>
      </c>
      <c r="G119" s="3" t="s">
        <v>53</v>
      </c>
      <c r="H119" s="61" t="s">
        <v>197</v>
      </c>
      <c r="I119" s="79"/>
      <c r="J119" s="79"/>
      <c r="K119" s="79"/>
      <c r="L119" s="79"/>
    </row>
    <row r="120" spans="1:12" x14ac:dyDescent="0.2">
      <c r="A120" s="56">
        <f t="shared" si="7"/>
        <v>75</v>
      </c>
      <c r="B120" s="57" t="str">
        <f t="shared" si="6"/>
        <v>Fr.</v>
      </c>
      <c r="C120" s="58">
        <f t="shared" si="8"/>
        <v>45975</v>
      </c>
      <c r="D120" s="59" t="s">
        <v>87</v>
      </c>
      <c r="E120" s="60">
        <v>7.5</v>
      </c>
      <c r="F120" s="2" t="s">
        <v>88</v>
      </c>
      <c r="G120" s="3" t="s">
        <v>53</v>
      </c>
      <c r="H120" s="61" t="s">
        <v>198</v>
      </c>
      <c r="I120" s="79"/>
      <c r="J120" s="79"/>
      <c r="K120" s="79"/>
      <c r="L120" s="79"/>
    </row>
    <row r="121" spans="1:12" x14ac:dyDescent="0.2">
      <c r="A121" s="56">
        <f t="shared" si="7"/>
        <v>76</v>
      </c>
      <c r="B121" s="57" t="str">
        <f t="shared" si="6"/>
        <v>Sa.</v>
      </c>
      <c r="C121" s="58">
        <f t="shared" si="8"/>
        <v>45976</v>
      </c>
      <c r="D121" s="59"/>
      <c r="E121" s="60"/>
      <c r="F121" s="2" t="s">
        <v>88</v>
      </c>
      <c r="G121" s="3" t="s">
        <v>53</v>
      </c>
      <c r="H121" s="85"/>
      <c r="I121" s="79"/>
      <c r="J121" s="79"/>
      <c r="K121" s="79"/>
      <c r="L121" s="79"/>
    </row>
    <row r="122" spans="1:12" x14ac:dyDescent="0.2">
      <c r="A122" s="56">
        <f t="shared" si="7"/>
        <v>77</v>
      </c>
      <c r="B122" s="57" t="str">
        <f t="shared" si="6"/>
        <v>So</v>
      </c>
      <c r="C122" s="58">
        <f t="shared" si="8"/>
        <v>45977</v>
      </c>
      <c r="D122" s="59"/>
      <c r="E122" s="60"/>
      <c r="F122" s="2" t="s">
        <v>88</v>
      </c>
      <c r="G122" s="3" t="s">
        <v>53</v>
      </c>
      <c r="H122" s="61"/>
      <c r="I122" s="79"/>
      <c r="J122" s="79"/>
      <c r="K122" s="79"/>
      <c r="L122" s="79"/>
    </row>
    <row r="123" spans="1:12" x14ac:dyDescent="0.2">
      <c r="A123" s="56">
        <f t="shared" si="7"/>
        <v>78</v>
      </c>
      <c r="B123" s="57" t="str">
        <f t="shared" si="6"/>
        <v>Mo</v>
      </c>
      <c r="C123" s="58">
        <f t="shared" si="8"/>
        <v>45978</v>
      </c>
      <c r="D123" s="59" t="s">
        <v>87</v>
      </c>
      <c r="E123" s="60">
        <v>8</v>
      </c>
      <c r="F123" s="2" t="s">
        <v>88</v>
      </c>
      <c r="G123" s="3" t="s">
        <v>53</v>
      </c>
      <c r="H123" s="61" t="s">
        <v>200</v>
      </c>
      <c r="I123" s="79"/>
      <c r="J123" s="79"/>
      <c r="K123" s="79"/>
      <c r="L123" s="79"/>
    </row>
    <row r="124" spans="1:12" x14ac:dyDescent="0.2">
      <c r="A124" s="56">
        <f t="shared" si="7"/>
        <v>79</v>
      </c>
      <c r="B124" s="57" t="str">
        <f t="shared" si="6"/>
        <v>Di</v>
      </c>
      <c r="C124" s="58">
        <f t="shared" si="8"/>
        <v>45979</v>
      </c>
      <c r="D124" s="59" t="s">
        <v>87</v>
      </c>
      <c r="E124" s="60">
        <v>8</v>
      </c>
      <c r="F124" s="2" t="s">
        <v>88</v>
      </c>
      <c r="G124" s="3" t="s">
        <v>53</v>
      </c>
      <c r="H124" s="61" t="s">
        <v>199</v>
      </c>
      <c r="I124" s="79"/>
      <c r="J124" s="79"/>
      <c r="K124" s="79"/>
      <c r="L124" s="79"/>
    </row>
    <row r="125" spans="1:12" ht="17.25" customHeight="1" x14ac:dyDescent="0.2">
      <c r="A125" s="56">
        <f t="shared" si="7"/>
        <v>80</v>
      </c>
      <c r="B125" s="57" t="str">
        <f t="shared" si="6"/>
        <v>Mi</v>
      </c>
      <c r="C125" s="58">
        <f t="shared" si="8"/>
        <v>45980</v>
      </c>
      <c r="D125" s="59" t="s">
        <v>87</v>
      </c>
      <c r="E125" s="60">
        <v>8</v>
      </c>
      <c r="F125" s="2" t="s">
        <v>88</v>
      </c>
      <c r="G125" s="3" t="s">
        <v>53</v>
      </c>
      <c r="H125" s="61" t="s">
        <v>213</v>
      </c>
      <c r="I125" s="79"/>
      <c r="J125" s="79"/>
      <c r="K125" s="79"/>
      <c r="L125" s="79"/>
    </row>
    <row r="126" spans="1:12" x14ac:dyDescent="0.2">
      <c r="A126" s="56">
        <f t="shared" si="7"/>
        <v>81</v>
      </c>
      <c r="B126" s="57" t="str">
        <f t="shared" si="6"/>
        <v>Do.</v>
      </c>
      <c r="C126" s="58">
        <f t="shared" si="8"/>
        <v>45981</v>
      </c>
      <c r="D126" s="59" t="s">
        <v>87</v>
      </c>
      <c r="E126" s="60">
        <v>7</v>
      </c>
      <c r="F126" s="2" t="s">
        <v>88</v>
      </c>
      <c r="G126" s="3" t="s">
        <v>53</v>
      </c>
      <c r="H126" s="61" t="s">
        <v>214</v>
      </c>
      <c r="I126" s="79"/>
      <c r="J126" s="79"/>
      <c r="K126" s="79"/>
      <c r="L126" s="79"/>
    </row>
    <row r="127" spans="1:12" x14ac:dyDescent="0.2">
      <c r="A127" s="56">
        <f t="shared" si="7"/>
        <v>82</v>
      </c>
      <c r="B127" s="57" t="str">
        <f t="shared" si="6"/>
        <v>Fr.</v>
      </c>
      <c r="C127" s="58">
        <f t="shared" si="8"/>
        <v>45982</v>
      </c>
      <c r="D127" s="59" t="s">
        <v>87</v>
      </c>
      <c r="E127" s="60">
        <v>6</v>
      </c>
      <c r="F127" s="2" t="s">
        <v>88</v>
      </c>
      <c r="G127" s="3" t="s">
        <v>53</v>
      </c>
      <c r="H127" s="61" t="s">
        <v>215</v>
      </c>
      <c r="I127" s="79"/>
      <c r="J127" s="79"/>
      <c r="K127" s="79"/>
      <c r="L127" s="79"/>
    </row>
    <row r="128" spans="1:12" x14ac:dyDescent="0.2">
      <c r="A128" s="56">
        <f t="shared" si="7"/>
        <v>83</v>
      </c>
      <c r="B128" s="57" t="str">
        <f t="shared" si="6"/>
        <v>Sa.</v>
      </c>
      <c r="C128" s="58">
        <f t="shared" si="8"/>
        <v>45983</v>
      </c>
      <c r="D128" s="59"/>
      <c r="E128" s="60"/>
      <c r="F128" s="2" t="s">
        <v>88</v>
      </c>
      <c r="G128" s="3" t="s">
        <v>53</v>
      </c>
      <c r="H128" s="61"/>
      <c r="I128" s="79"/>
      <c r="J128" s="79"/>
      <c r="K128" s="79"/>
      <c r="L128" s="79"/>
    </row>
    <row r="129" spans="1:27" ht="15" thickBot="1" x14ac:dyDescent="0.25">
      <c r="A129" s="63">
        <f>A128+1</f>
        <v>84</v>
      </c>
      <c r="B129" s="64" t="str">
        <f t="shared" si="6"/>
        <v>So</v>
      </c>
      <c r="C129" s="65">
        <f t="shared" si="8"/>
        <v>45984</v>
      </c>
      <c r="D129" s="66"/>
      <c r="E129" s="67"/>
      <c r="F129" s="11" t="s">
        <v>88</v>
      </c>
      <c r="G129" s="13" t="s">
        <v>53</v>
      </c>
      <c r="H129" s="68"/>
      <c r="I129" s="79"/>
      <c r="J129" s="79"/>
      <c r="K129" s="79"/>
      <c r="L129" s="79"/>
      <c r="N129" s="47"/>
      <c r="O129" s="48" t="s">
        <v>106</v>
      </c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spans="1:27" x14ac:dyDescent="0.2">
      <c r="A130" s="69"/>
      <c r="B130" s="69"/>
      <c r="C130" s="69"/>
      <c r="D130" s="69"/>
      <c r="E130" s="69"/>
      <c r="F130" s="24"/>
      <c r="G130" s="24"/>
      <c r="H130" s="69"/>
      <c r="I130" s="69"/>
      <c r="J130" s="69"/>
      <c r="K130" s="69"/>
      <c r="L130" s="69"/>
      <c r="N130" s="46"/>
      <c r="O130" s="1" t="s">
        <v>104</v>
      </c>
    </row>
    <row r="131" spans="1:27" x14ac:dyDescent="0.2">
      <c r="A131" s="98" t="str">
        <f>Student_Name</f>
        <v>Dirnberger</v>
      </c>
      <c r="B131" s="98"/>
      <c r="C131" s="98"/>
      <c r="D131" s="98"/>
      <c r="E131" s="98"/>
      <c r="F131" s="99"/>
      <c r="G131" s="26"/>
      <c r="H131" s="77" t="str">
        <f>Ausbildungsbetrieb_Unternehmen</f>
        <v>Continental Automotiv Technologies GmbH</v>
      </c>
      <c r="I131" s="71"/>
      <c r="J131" s="71"/>
      <c r="K131" s="71"/>
      <c r="L131" s="71"/>
    </row>
    <row r="132" spans="1:27" ht="7.5" customHeight="1" x14ac:dyDescent="0.2">
      <c r="A132" s="70" t="s">
        <v>31</v>
      </c>
      <c r="B132" s="70"/>
      <c r="C132" s="70"/>
      <c r="D132" s="70"/>
      <c r="E132" s="70"/>
      <c r="F132" s="28"/>
      <c r="G132" s="28"/>
      <c r="H132" s="70" t="s">
        <v>32</v>
      </c>
      <c r="I132" s="70"/>
      <c r="J132" s="70"/>
      <c r="K132" s="70"/>
      <c r="L132" s="70"/>
    </row>
    <row r="133" spans="1:27" ht="7.5" customHeight="1" x14ac:dyDescent="0.2">
      <c r="A133" s="71"/>
      <c r="B133" s="71"/>
      <c r="C133" s="71"/>
      <c r="D133" s="71"/>
      <c r="E133" s="71"/>
      <c r="F133" s="26"/>
      <c r="G133" s="26"/>
      <c r="H133" s="71"/>
      <c r="I133" s="71"/>
      <c r="J133" s="71"/>
      <c r="K133" s="71"/>
      <c r="L133" s="71"/>
    </row>
    <row r="134" spans="1:27" x14ac:dyDescent="0.2">
      <c r="A134" s="98" t="str">
        <f>Student_Vorname</f>
        <v>Hubert</v>
      </c>
      <c r="B134" s="98"/>
      <c r="C134" s="98"/>
      <c r="D134" s="98"/>
      <c r="E134" s="98"/>
      <c r="F134" s="99"/>
      <c r="G134" s="26"/>
      <c r="H134" s="77" t="str">
        <f>CONCATENATE(Ausbildungsbetrieb_Vorname, " ", Ausbildungsbetrieb_Name)</f>
        <v>Christian Ruppel</v>
      </c>
      <c r="I134" s="71"/>
      <c r="J134" s="71"/>
      <c r="K134" s="71"/>
      <c r="L134" s="71"/>
    </row>
    <row r="135" spans="1:27" ht="7.5" customHeight="1" x14ac:dyDescent="0.2">
      <c r="A135" s="70" t="s">
        <v>34</v>
      </c>
      <c r="B135" s="70"/>
      <c r="C135" s="70"/>
      <c r="D135" s="70"/>
      <c r="E135" s="70"/>
      <c r="F135" s="28"/>
      <c r="G135" s="28"/>
      <c r="H135" s="70" t="s">
        <v>78</v>
      </c>
      <c r="I135" s="70"/>
      <c r="J135" s="70"/>
      <c r="K135" s="70"/>
      <c r="L135" s="70"/>
    </row>
    <row r="136" spans="1:27" ht="7.5" customHeight="1" x14ac:dyDescent="0.2">
      <c r="A136" s="71"/>
      <c r="B136" s="71"/>
      <c r="C136" s="71"/>
      <c r="D136" s="71"/>
      <c r="E136" s="71"/>
      <c r="F136" s="26"/>
      <c r="G136" s="26"/>
      <c r="H136" s="71"/>
      <c r="I136" s="71"/>
      <c r="J136" s="71"/>
      <c r="K136" s="71"/>
      <c r="L136" s="71"/>
    </row>
    <row r="137" spans="1:27" x14ac:dyDescent="0.2">
      <c r="A137" s="98" t="str">
        <f>Student_Studiengruppe</f>
        <v>MB8</v>
      </c>
      <c r="B137" s="98"/>
      <c r="C137" s="98"/>
      <c r="D137" s="98"/>
      <c r="E137" s="98"/>
      <c r="F137" s="99"/>
      <c r="G137" s="26"/>
      <c r="H137" s="77" t="str">
        <f>Ausbildungsbetrieb_Email</f>
        <v>christian.ruppel@continental-corporaion.com</v>
      </c>
      <c r="I137" s="71"/>
      <c r="J137" s="71"/>
      <c r="K137" s="71"/>
      <c r="L137" s="71"/>
    </row>
    <row r="138" spans="1:27" ht="7.5" customHeight="1" x14ac:dyDescent="0.2">
      <c r="A138" s="70" t="s">
        <v>38</v>
      </c>
      <c r="B138" s="70"/>
      <c r="C138" s="70"/>
      <c r="D138" s="70"/>
      <c r="E138" s="70"/>
      <c r="F138" s="28"/>
      <c r="G138" s="28"/>
      <c r="H138" s="70" t="s">
        <v>79</v>
      </c>
      <c r="I138" s="70"/>
      <c r="J138" s="70"/>
      <c r="K138" s="70"/>
      <c r="L138" s="70"/>
    </row>
    <row r="139" spans="1:27" ht="7.5" customHeight="1" x14ac:dyDescent="0.2">
      <c r="A139" s="71"/>
      <c r="B139" s="71"/>
      <c r="C139" s="71"/>
      <c r="D139" s="71"/>
      <c r="E139" s="71"/>
      <c r="F139" s="26"/>
      <c r="G139" s="26"/>
      <c r="H139" s="71"/>
      <c r="I139" s="71"/>
      <c r="J139" s="71"/>
      <c r="K139" s="71"/>
      <c r="L139" s="71"/>
    </row>
    <row r="140" spans="1:27" x14ac:dyDescent="0.2">
      <c r="A140" s="98">
        <f>Student_Matrikelnummer</f>
        <v>3315035</v>
      </c>
      <c r="B140" s="98"/>
      <c r="C140" s="98"/>
      <c r="D140" s="98"/>
      <c r="E140" s="98"/>
      <c r="F140" s="99"/>
      <c r="G140" s="26"/>
      <c r="H140" s="77" t="str">
        <f>Ausbildungsbetrieb_Telefon</f>
        <v>0499417903612</v>
      </c>
      <c r="I140" s="71"/>
      <c r="J140" s="71"/>
      <c r="K140" s="71"/>
      <c r="L140" s="71"/>
    </row>
    <row r="141" spans="1:27" ht="7.5" customHeight="1" x14ac:dyDescent="0.2">
      <c r="A141" s="70" t="s">
        <v>41</v>
      </c>
      <c r="B141" s="70"/>
      <c r="C141" s="70"/>
      <c r="D141" s="70"/>
      <c r="E141" s="70"/>
      <c r="F141" s="28"/>
      <c r="G141" s="28"/>
      <c r="H141" s="70" t="s">
        <v>80</v>
      </c>
      <c r="I141" s="70"/>
      <c r="J141" s="70"/>
      <c r="K141" s="70"/>
      <c r="L141" s="70"/>
    </row>
    <row r="142" spans="1:27" ht="7.5" customHeight="1" thickBot="1" x14ac:dyDescent="0.25">
      <c r="A142" s="71"/>
      <c r="B142" s="71"/>
      <c r="C142" s="71"/>
      <c r="D142" s="71"/>
      <c r="E142" s="71"/>
      <c r="F142" s="26"/>
      <c r="G142" s="26"/>
      <c r="H142" s="71"/>
      <c r="I142" s="71"/>
      <c r="J142" s="71"/>
      <c r="K142" s="71"/>
      <c r="L142" s="71"/>
    </row>
    <row r="143" spans="1:27" x14ac:dyDescent="0.2">
      <c r="A143" s="72"/>
      <c r="B143" s="73"/>
      <c r="C143" s="73"/>
      <c r="D143" s="73"/>
      <c r="E143" s="73" t="s">
        <v>81</v>
      </c>
      <c r="F143" s="15"/>
      <c r="G143" s="15"/>
      <c r="H143" s="74" t="s">
        <v>82</v>
      </c>
      <c r="I143" s="69"/>
      <c r="J143" s="69"/>
      <c r="K143" s="69"/>
      <c r="L143" s="69"/>
    </row>
    <row r="144" spans="1:27" ht="45" customHeight="1" thickBot="1" x14ac:dyDescent="0.25">
      <c r="A144" s="100" t="s">
        <v>83</v>
      </c>
      <c r="B144" s="101"/>
      <c r="C144" s="75" t="s">
        <v>84</v>
      </c>
      <c r="D144" s="75"/>
      <c r="E144" s="102" t="s">
        <v>85</v>
      </c>
      <c r="F144" s="103"/>
      <c r="G144" s="18"/>
      <c r="H144" s="76" t="s">
        <v>86</v>
      </c>
      <c r="I144" s="69"/>
      <c r="J144" s="69"/>
      <c r="K144" s="69"/>
      <c r="L144" s="69"/>
    </row>
    <row r="145" spans="1:12" x14ac:dyDescent="0.2">
      <c r="A145" s="50">
        <f>A129+1</f>
        <v>85</v>
      </c>
      <c r="B145" s="51" t="str">
        <f>IF(WEEKDAY(C145,2)=1,"Mo",IF(WEEKDAY(C145,2)=2,"Di",IF(WEEKDAY(C145,2)=3,"Mi",IF(WEEKDAY(C145,2)=4,"Do.",IF(WEEKDAY(C145,2)=5,"Fr.",IF(WEEKDAY(C145,2)=6,"Sa.","So"))))))</f>
        <v>Mo</v>
      </c>
      <c r="C145" s="52">
        <f>C129+1</f>
        <v>45985</v>
      </c>
      <c r="D145" s="53" t="s">
        <v>87</v>
      </c>
      <c r="E145" s="54">
        <v>6</v>
      </c>
      <c r="F145" s="6" t="s">
        <v>88</v>
      </c>
      <c r="G145" s="8" t="s">
        <v>53</v>
      </c>
      <c r="H145" s="55" t="s">
        <v>216</v>
      </c>
      <c r="I145" s="79"/>
      <c r="J145" s="79"/>
      <c r="K145" s="79"/>
      <c r="L145" s="79"/>
    </row>
    <row r="146" spans="1:12" x14ac:dyDescent="0.2">
      <c r="A146" s="56">
        <f>A145+1</f>
        <v>86</v>
      </c>
      <c r="B146" s="57" t="str">
        <f t="shared" ref="B146:B172" si="9">IF(WEEKDAY(C146,2)=1,"Mo",IF(WEEKDAY(C146,2)=2,"Di",IF(WEEKDAY(C146,2)=3,"Mi",IF(WEEKDAY(C146,2)=4,"Do.",IF(WEEKDAY(C146,2)=5,"Fr.",IF(WEEKDAY(C146,2)=6,"Sa.","So"))))))</f>
        <v>Di</v>
      </c>
      <c r="C146" s="58">
        <f>C145+1</f>
        <v>45986</v>
      </c>
      <c r="D146" s="59" t="s">
        <v>87</v>
      </c>
      <c r="E146" s="60">
        <v>8</v>
      </c>
      <c r="F146" s="2" t="s">
        <v>88</v>
      </c>
      <c r="G146" s="3" t="s">
        <v>53</v>
      </c>
      <c r="H146" s="61" t="s">
        <v>218</v>
      </c>
      <c r="I146" s="79"/>
      <c r="J146" s="79"/>
      <c r="K146" s="79"/>
      <c r="L146" s="79"/>
    </row>
    <row r="147" spans="1:12" x14ac:dyDescent="0.2">
      <c r="A147" s="56">
        <f t="shared" ref="A147:A171" si="10">A146+1</f>
        <v>87</v>
      </c>
      <c r="B147" s="57" t="str">
        <f t="shared" si="9"/>
        <v>Mi</v>
      </c>
      <c r="C147" s="58">
        <f t="shared" ref="C147:C172" si="11">C146+1</f>
        <v>45987</v>
      </c>
      <c r="D147" s="59" t="s">
        <v>87</v>
      </c>
      <c r="E147" s="60">
        <v>8</v>
      </c>
      <c r="F147" s="2" t="s">
        <v>88</v>
      </c>
      <c r="G147" s="3" t="s">
        <v>53</v>
      </c>
      <c r="H147" s="61" t="s">
        <v>217</v>
      </c>
      <c r="I147" s="79"/>
      <c r="J147" s="79"/>
      <c r="K147" s="79"/>
      <c r="L147" s="79"/>
    </row>
    <row r="148" spans="1:12" x14ac:dyDescent="0.2">
      <c r="A148" s="56">
        <f t="shared" si="10"/>
        <v>88</v>
      </c>
      <c r="B148" s="57" t="str">
        <f t="shared" si="9"/>
        <v>Do.</v>
      </c>
      <c r="C148" s="58">
        <f t="shared" si="11"/>
        <v>45988</v>
      </c>
      <c r="D148" s="59" t="s">
        <v>87</v>
      </c>
      <c r="E148" s="60">
        <v>8</v>
      </c>
      <c r="F148" s="2" t="s">
        <v>88</v>
      </c>
      <c r="G148" s="3" t="s">
        <v>53</v>
      </c>
      <c r="H148" s="61" t="s">
        <v>219</v>
      </c>
      <c r="I148" s="79"/>
      <c r="J148" s="79"/>
      <c r="K148" s="79"/>
      <c r="L148" s="79"/>
    </row>
    <row r="149" spans="1:12" x14ac:dyDescent="0.2">
      <c r="A149" s="56">
        <f t="shared" si="10"/>
        <v>89</v>
      </c>
      <c r="B149" s="57" t="str">
        <f t="shared" si="9"/>
        <v>Fr.</v>
      </c>
      <c r="C149" s="58">
        <f t="shared" si="11"/>
        <v>45989</v>
      </c>
      <c r="D149" s="59" t="s">
        <v>87</v>
      </c>
      <c r="E149" s="60">
        <v>7</v>
      </c>
      <c r="F149" s="2" t="s">
        <v>88</v>
      </c>
      <c r="G149" s="3" t="s">
        <v>53</v>
      </c>
      <c r="H149" s="84" t="s">
        <v>220</v>
      </c>
      <c r="I149" s="79"/>
      <c r="J149" s="79"/>
      <c r="K149" s="79"/>
      <c r="L149" s="79"/>
    </row>
    <row r="150" spans="1:12" x14ac:dyDescent="0.2">
      <c r="A150" s="56">
        <f t="shared" si="10"/>
        <v>90</v>
      </c>
      <c r="B150" s="57" t="str">
        <f t="shared" si="9"/>
        <v>Sa.</v>
      </c>
      <c r="C150" s="58">
        <f t="shared" si="11"/>
        <v>45990</v>
      </c>
      <c r="D150" s="59"/>
      <c r="E150" s="60"/>
      <c r="F150" s="2" t="s">
        <v>88</v>
      </c>
      <c r="G150" s="3" t="s">
        <v>53</v>
      </c>
      <c r="H150" s="61" t="s">
        <v>201</v>
      </c>
      <c r="I150" s="79"/>
      <c r="J150" s="79"/>
      <c r="K150" s="79"/>
      <c r="L150" s="79"/>
    </row>
    <row r="151" spans="1:12" x14ac:dyDescent="0.2">
      <c r="A151" s="56">
        <f t="shared" si="10"/>
        <v>91</v>
      </c>
      <c r="B151" s="57" t="str">
        <f t="shared" si="9"/>
        <v>So</v>
      </c>
      <c r="C151" s="58">
        <f t="shared" si="11"/>
        <v>45991</v>
      </c>
      <c r="D151" s="59"/>
      <c r="E151" s="60"/>
      <c r="F151" s="2" t="s">
        <v>88</v>
      </c>
      <c r="G151" s="3" t="s">
        <v>53</v>
      </c>
      <c r="H151" s="61"/>
      <c r="I151" s="79"/>
      <c r="J151" s="79"/>
      <c r="K151" s="79"/>
      <c r="L151" s="79"/>
    </row>
    <row r="152" spans="1:12" x14ac:dyDescent="0.2">
      <c r="A152" s="56">
        <f t="shared" si="10"/>
        <v>92</v>
      </c>
      <c r="B152" s="57" t="str">
        <f t="shared" si="9"/>
        <v>Mo</v>
      </c>
      <c r="C152" s="58">
        <f t="shared" si="11"/>
        <v>45992</v>
      </c>
      <c r="D152" s="59"/>
      <c r="E152" s="60"/>
      <c r="F152" s="2" t="s">
        <v>88</v>
      </c>
      <c r="G152" s="3" t="s">
        <v>53</v>
      </c>
      <c r="H152" s="61"/>
      <c r="I152" s="79"/>
      <c r="J152" s="79"/>
      <c r="K152" s="79"/>
      <c r="L152" s="79"/>
    </row>
    <row r="153" spans="1:12" x14ac:dyDescent="0.2">
      <c r="A153" s="56">
        <f t="shared" si="10"/>
        <v>93</v>
      </c>
      <c r="B153" s="57" t="str">
        <f t="shared" si="9"/>
        <v>Di</v>
      </c>
      <c r="C153" s="58">
        <f t="shared" si="11"/>
        <v>45993</v>
      </c>
      <c r="D153" s="59"/>
      <c r="E153" s="60"/>
      <c r="F153" s="2" t="s">
        <v>88</v>
      </c>
      <c r="G153" s="3" t="s">
        <v>53</v>
      </c>
      <c r="H153" s="61"/>
      <c r="I153" s="79"/>
      <c r="J153" s="79"/>
      <c r="K153" s="79"/>
      <c r="L153" s="79"/>
    </row>
    <row r="154" spans="1:12" x14ac:dyDescent="0.2">
      <c r="A154" s="56">
        <f t="shared" si="10"/>
        <v>94</v>
      </c>
      <c r="B154" s="57" t="str">
        <f t="shared" si="9"/>
        <v>Mi</v>
      </c>
      <c r="C154" s="58">
        <f t="shared" si="11"/>
        <v>45994</v>
      </c>
      <c r="D154" s="59"/>
      <c r="E154" s="60"/>
      <c r="F154" s="2" t="s">
        <v>88</v>
      </c>
      <c r="G154" s="3" t="s">
        <v>53</v>
      </c>
      <c r="H154" s="61"/>
      <c r="I154" s="79"/>
      <c r="J154" s="79"/>
      <c r="K154" s="79"/>
      <c r="L154" s="79"/>
    </row>
    <row r="155" spans="1:12" x14ac:dyDescent="0.2">
      <c r="A155" s="56">
        <f t="shared" si="10"/>
        <v>95</v>
      </c>
      <c r="B155" s="57" t="str">
        <f t="shared" si="9"/>
        <v>Do.</v>
      </c>
      <c r="C155" s="58">
        <f t="shared" si="11"/>
        <v>45995</v>
      </c>
      <c r="D155" s="59"/>
      <c r="E155" s="60"/>
      <c r="F155" s="2" t="s">
        <v>88</v>
      </c>
      <c r="G155" s="3" t="s">
        <v>53</v>
      </c>
      <c r="H155" s="61"/>
      <c r="I155" s="79"/>
      <c r="J155" s="79"/>
      <c r="K155" s="79"/>
      <c r="L155" s="79"/>
    </row>
    <row r="156" spans="1:12" x14ac:dyDescent="0.2">
      <c r="A156" s="56">
        <f t="shared" si="10"/>
        <v>96</v>
      </c>
      <c r="B156" s="57" t="str">
        <f t="shared" si="9"/>
        <v>Fr.</v>
      </c>
      <c r="C156" s="58">
        <f t="shared" si="11"/>
        <v>45996</v>
      </c>
      <c r="D156" s="59"/>
      <c r="E156" s="60"/>
      <c r="F156" s="2" t="s">
        <v>88</v>
      </c>
      <c r="G156" s="3" t="s">
        <v>53</v>
      </c>
      <c r="H156" s="61"/>
      <c r="I156" s="79"/>
      <c r="J156" s="79"/>
      <c r="K156" s="79"/>
      <c r="L156" s="79"/>
    </row>
    <row r="157" spans="1:12" x14ac:dyDescent="0.2">
      <c r="A157" s="56">
        <f t="shared" si="10"/>
        <v>97</v>
      </c>
      <c r="B157" s="57" t="str">
        <f t="shared" si="9"/>
        <v>Sa.</v>
      </c>
      <c r="C157" s="58">
        <f t="shared" si="11"/>
        <v>45997</v>
      </c>
      <c r="D157" s="59"/>
      <c r="E157" s="60"/>
      <c r="F157" s="2" t="s">
        <v>88</v>
      </c>
      <c r="G157" s="3" t="s">
        <v>53</v>
      </c>
      <c r="H157" s="61" t="s">
        <v>202</v>
      </c>
      <c r="I157" s="79"/>
      <c r="J157" s="79"/>
      <c r="K157" s="79"/>
      <c r="L157" s="79"/>
    </row>
    <row r="158" spans="1:12" x14ac:dyDescent="0.2">
      <c r="A158" s="56">
        <f t="shared" si="10"/>
        <v>98</v>
      </c>
      <c r="B158" s="57" t="str">
        <f t="shared" si="9"/>
        <v>So</v>
      </c>
      <c r="C158" s="58">
        <f t="shared" si="11"/>
        <v>45998</v>
      </c>
      <c r="D158" s="59"/>
      <c r="E158" s="60"/>
      <c r="F158" s="2" t="s">
        <v>88</v>
      </c>
      <c r="G158" s="3" t="s">
        <v>53</v>
      </c>
      <c r="H158" s="61"/>
      <c r="I158" s="79"/>
      <c r="J158" s="79"/>
      <c r="K158" s="79"/>
      <c r="L158" s="79"/>
    </row>
    <row r="159" spans="1:12" x14ac:dyDescent="0.2">
      <c r="A159" s="56">
        <f t="shared" si="10"/>
        <v>99</v>
      </c>
      <c r="B159" s="57" t="str">
        <f t="shared" si="9"/>
        <v>Mo</v>
      </c>
      <c r="C159" s="58">
        <f t="shared" si="11"/>
        <v>45999</v>
      </c>
      <c r="D159" s="59"/>
      <c r="E159" s="60"/>
      <c r="F159" s="2" t="s">
        <v>88</v>
      </c>
      <c r="G159" s="3" t="s">
        <v>53</v>
      </c>
      <c r="H159" s="61"/>
      <c r="I159" s="79"/>
      <c r="J159" s="79"/>
      <c r="K159" s="79"/>
      <c r="L159" s="79"/>
    </row>
    <row r="160" spans="1:12" x14ac:dyDescent="0.2">
      <c r="A160" s="56">
        <f t="shared" si="10"/>
        <v>100</v>
      </c>
      <c r="B160" s="57" t="str">
        <f t="shared" si="9"/>
        <v>Di</v>
      </c>
      <c r="C160" s="58">
        <f t="shared" si="11"/>
        <v>46000</v>
      </c>
      <c r="D160" s="59"/>
      <c r="E160" s="60"/>
      <c r="F160" s="2" t="s">
        <v>88</v>
      </c>
      <c r="G160" s="3" t="s">
        <v>53</v>
      </c>
      <c r="H160" s="61"/>
      <c r="I160" s="79"/>
      <c r="J160" s="79"/>
      <c r="K160" s="79"/>
      <c r="L160" s="79"/>
    </row>
    <row r="161" spans="1:27" x14ac:dyDescent="0.2">
      <c r="A161" s="56">
        <f t="shared" si="10"/>
        <v>101</v>
      </c>
      <c r="B161" s="57" t="str">
        <f t="shared" si="9"/>
        <v>Mi</v>
      </c>
      <c r="C161" s="58">
        <f t="shared" si="11"/>
        <v>46001</v>
      </c>
      <c r="D161" s="59"/>
      <c r="E161" s="60"/>
      <c r="F161" s="2" t="s">
        <v>88</v>
      </c>
      <c r="G161" s="3" t="s">
        <v>53</v>
      </c>
      <c r="H161" s="61"/>
      <c r="I161" s="79"/>
      <c r="J161" s="79"/>
      <c r="K161" s="79"/>
      <c r="L161" s="79"/>
    </row>
    <row r="162" spans="1:27" x14ac:dyDescent="0.2">
      <c r="A162" s="56">
        <f t="shared" si="10"/>
        <v>102</v>
      </c>
      <c r="B162" s="57" t="str">
        <f t="shared" si="9"/>
        <v>Do.</v>
      </c>
      <c r="C162" s="58">
        <f t="shared" si="11"/>
        <v>46002</v>
      </c>
      <c r="D162" s="59"/>
      <c r="E162" s="60"/>
      <c r="F162" s="2" t="s">
        <v>88</v>
      </c>
      <c r="G162" s="3" t="s">
        <v>53</v>
      </c>
      <c r="H162" s="61"/>
      <c r="I162" s="79"/>
      <c r="J162" s="79"/>
      <c r="K162" s="79"/>
      <c r="L162" s="79"/>
    </row>
    <row r="163" spans="1:27" x14ac:dyDescent="0.2">
      <c r="A163" s="56">
        <f t="shared" si="10"/>
        <v>103</v>
      </c>
      <c r="B163" s="57" t="str">
        <f t="shared" si="9"/>
        <v>Fr.</v>
      </c>
      <c r="C163" s="58">
        <f t="shared" si="11"/>
        <v>46003</v>
      </c>
      <c r="D163" s="59"/>
      <c r="E163" s="60"/>
      <c r="F163" s="2" t="s">
        <v>88</v>
      </c>
      <c r="G163" s="3" t="s">
        <v>53</v>
      </c>
      <c r="H163" s="88" t="s">
        <v>205</v>
      </c>
      <c r="I163" s="79"/>
      <c r="J163" s="79"/>
      <c r="K163" s="79"/>
      <c r="L163" s="79"/>
    </row>
    <row r="164" spans="1:27" x14ac:dyDescent="0.2">
      <c r="A164" s="56">
        <f t="shared" si="10"/>
        <v>104</v>
      </c>
      <c r="B164" s="57" t="str">
        <f t="shared" si="9"/>
        <v>Sa.</v>
      </c>
      <c r="C164" s="58">
        <f t="shared" si="11"/>
        <v>46004</v>
      </c>
      <c r="D164" s="59"/>
      <c r="E164" s="60"/>
      <c r="F164" s="2" t="s">
        <v>88</v>
      </c>
      <c r="G164" s="3" t="s">
        <v>53</v>
      </c>
      <c r="H164" s="61" t="s">
        <v>203</v>
      </c>
      <c r="I164" s="79"/>
      <c r="J164" s="79"/>
      <c r="K164" s="79"/>
      <c r="L164" s="79"/>
    </row>
    <row r="165" spans="1:27" x14ac:dyDescent="0.2">
      <c r="A165" s="56">
        <f t="shared" si="10"/>
        <v>105</v>
      </c>
      <c r="B165" s="57" t="str">
        <f t="shared" si="9"/>
        <v>So</v>
      </c>
      <c r="C165" s="58">
        <f t="shared" si="11"/>
        <v>46005</v>
      </c>
      <c r="D165" s="59"/>
      <c r="E165" s="60"/>
      <c r="F165" s="2" t="s">
        <v>88</v>
      </c>
      <c r="G165" s="3" t="s">
        <v>53</v>
      </c>
      <c r="H165" s="61"/>
      <c r="I165" s="79"/>
      <c r="J165" s="79"/>
      <c r="K165" s="79"/>
      <c r="L165" s="79"/>
    </row>
    <row r="166" spans="1:27" x14ac:dyDescent="0.2">
      <c r="A166" s="56">
        <f t="shared" si="10"/>
        <v>106</v>
      </c>
      <c r="B166" s="57" t="str">
        <f t="shared" si="9"/>
        <v>Mo</v>
      </c>
      <c r="C166" s="58">
        <f t="shared" si="11"/>
        <v>46006</v>
      </c>
      <c r="D166" s="59"/>
      <c r="E166" s="60"/>
      <c r="F166" s="2" t="s">
        <v>88</v>
      </c>
      <c r="G166" s="3" t="s">
        <v>53</v>
      </c>
      <c r="H166" s="61"/>
      <c r="I166" s="79"/>
      <c r="J166" s="79"/>
      <c r="K166" s="79"/>
      <c r="L166" s="79"/>
    </row>
    <row r="167" spans="1:27" x14ac:dyDescent="0.2">
      <c r="A167" s="56">
        <f t="shared" si="10"/>
        <v>107</v>
      </c>
      <c r="B167" s="57" t="str">
        <f t="shared" si="9"/>
        <v>Di</v>
      </c>
      <c r="C167" s="58">
        <f t="shared" si="11"/>
        <v>46007</v>
      </c>
      <c r="D167" s="59"/>
      <c r="E167" s="60"/>
      <c r="F167" s="2" t="s">
        <v>88</v>
      </c>
      <c r="G167" s="3" t="s">
        <v>53</v>
      </c>
      <c r="H167" s="61"/>
      <c r="I167" s="79"/>
      <c r="J167" s="79"/>
      <c r="K167" s="79"/>
      <c r="L167" s="79"/>
    </row>
    <row r="168" spans="1:27" x14ac:dyDescent="0.2">
      <c r="A168" s="56">
        <f t="shared" si="10"/>
        <v>108</v>
      </c>
      <c r="B168" s="57" t="str">
        <f t="shared" si="9"/>
        <v>Mi</v>
      </c>
      <c r="C168" s="58">
        <f t="shared" si="11"/>
        <v>46008</v>
      </c>
      <c r="D168" s="59"/>
      <c r="E168" s="62"/>
      <c r="F168" s="2" t="s">
        <v>88</v>
      </c>
      <c r="G168" s="3" t="s">
        <v>53</v>
      </c>
      <c r="H168" s="61"/>
      <c r="I168" s="79"/>
      <c r="J168" s="79"/>
      <c r="K168" s="79"/>
      <c r="L168" s="79"/>
    </row>
    <row r="169" spans="1:27" x14ac:dyDescent="0.2">
      <c r="A169" s="56">
        <f t="shared" si="10"/>
        <v>109</v>
      </c>
      <c r="B169" s="57" t="str">
        <f t="shared" si="9"/>
        <v>Do.</v>
      </c>
      <c r="C169" s="58">
        <f t="shared" si="11"/>
        <v>46009</v>
      </c>
      <c r="D169" s="59"/>
      <c r="E169" s="62"/>
      <c r="F169" s="2" t="s">
        <v>88</v>
      </c>
      <c r="G169" s="3" t="s">
        <v>53</v>
      </c>
      <c r="H169" s="61"/>
      <c r="I169" s="79"/>
      <c r="J169" s="79"/>
      <c r="K169" s="79"/>
      <c r="L169" s="79"/>
    </row>
    <row r="170" spans="1:27" x14ac:dyDescent="0.2">
      <c r="A170" s="56">
        <f t="shared" si="10"/>
        <v>110</v>
      </c>
      <c r="B170" s="57" t="str">
        <f t="shared" si="9"/>
        <v>Fr.</v>
      </c>
      <c r="C170" s="58">
        <f t="shared" si="11"/>
        <v>46010</v>
      </c>
      <c r="D170" s="59"/>
      <c r="E170" s="60"/>
      <c r="F170" s="2" t="s">
        <v>88</v>
      </c>
      <c r="G170" s="3" t="s">
        <v>53</v>
      </c>
      <c r="H170" s="61"/>
      <c r="I170" s="79"/>
      <c r="J170" s="79"/>
      <c r="K170" s="79"/>
      <c r="L170" s="79"/>
    </row>
    <row r="171" spans="1:27" x14ac:dyDescent="0.2">
      <c r="A171" s="56">
        <f t="shared" si="10"/>
        <v>111</v>
      </c>
      <c r="B171" s="57" t="str">
        <f t="shared" si="9"/>
        <v>Sa.</v>
      </c>
      <c r="C171" s="58">
        <f t="shared" si="11"/>
        <v>46011</v>
      </c>
      <c r="D171" s="59"/>
      <c r="E171" s="60"/>
      <c r="F171" s="2" t="s">
        <v>88</v>
      </c>
      <c r="G171" s="3" t="s">
        <v>53</v>
      </c>
      <c r="H171" s="61" t="s">
        <v>204</v>
      </c>
      <c r="I171" s="79"/>
      <c r="J171" s="79"/>
      <c r="K171" s="79"/>
      <c r="L171" s="79"/>
    </row>
    <row r="172" spans="1:27" ht="15" thickBot="1" x14ac:dyDescent="0.25">
      <c r="A172" s="63">
        <f>A171+1</f>
        <v>112</v>
      </c>
      <c r="B172" s="64" t="str">
        <f t="shared" si="9"/>
        <v>So</v>
      </c>
      <c r="C172" s="65">
        <f t="shared" si="11"/>
        <v>46012</v>
      </c>
      <c r="D172" s="66"/>
      <c r="E172" s="67"/>
      <c r="F172" s="11" t="s">
        <v>88</v>
      </c>
      <c r="G172" s="13" t="s">
        <v>53</v>
      </c>
      <c r="H172" s="68"/>
      <c r="I172" s="79"/>
      <c r="J172" s="79"/>
      <c r="K172" s="79"/>
      <c r="L172" s="79"/>
      <c r="N172" s="47"/>
      <c r="O172" s="48" t="s">
        <v>107</v>
      </c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spans="1:27" x14ac:dyDescent="0.2">
      <c r="A173" s="69"/>
      <c r="B173" s="69"/>
      <c r="C173" s="69"/>
      <c r="D173" s="69"/>
      <c r="E173" s="69"/>
      <c r="F173" s="24"/>
      <c r="G173" s="24"/>
      <c r="H173" s="69"/>
      <c r="I173" s="69"/>
      <c r="J173" s="69"/>
      <c r="K173" s="69"/>
      <c r="L173" s="69"/>
      <c r="N173" s="46"/>
      <c r="O173" s="1" t="s">
        <v>104</v>
      </c>
    </row>
    <row r="174" spans="1:27" x14ac:dyDescent="0.2">
      <c r="A174" s="98" t="str">
        <f>Student_Name</f>
        <v>Dirnberger</v>
      </c>
      <c r="B174" s="98"/>
      <c r="C174" s="98"/>
      <c r="D174" s="98"/>
      <c r="E174" s="98"/>
      <c r="F174" s="99"/>
      <c r="G174" s="26"/>
      <c r="H174" s="77" t="str">
        <f>Ausbildungsbetrieb_Unternehmen</f>
        <v>Continental Automotiv Technologies GmbH</v>
      </c>
      <c r="I174" s="71"/>
      <c r="J174" s="71"/>
      <c r="K174" s="71"/>
      <c r="L174" s="71"/>
    </row>
    <row r="175" spans="1:27" ht="7.5" customHeight="1" x14ac:dyDescent="0.2">
      <c r="A175" s="70" t="s">
        <v>31</v>
      </c>
      <c r="B175" s="70"/>
      <c r="C175" s="70"/>
      <c r="D175" s="70"/>
      <c r="E175" s="70"/>
      <c r="F175" s="28"/>
      <c r="G175" s="28"/>
      <c r="H175" s="70" t="s">
        <v>32</v>
      </c>
      <c r="I175" s="70"/>
      <c r="J175" s="70"/>
      <c r="K175" s="70"/>
      <c r="L175" s="70"/>
    </row>
    <row r="176" spans="1:27" ht="7.5" customHeight="1" x14ac:dyDescent="0.2">
      <c r="A176" s="71"/>
      <c r="B176" s="71"/>
      <c r="C176" s="71"/>
      <c r="D176" s="71"/>
      <c r="E176" s="71"/>
      <c r="F176" s="26"/>
      <c r="G176" s="26"/>
      <c r="H176" s="71"/>
      <c r="I176" s="71"/>
      <c r="J176" s="71"/>
      <c r="K176" s="71"/>
      <c r="L176" s="71"/>
    </row>
    <row r="177" spans="1:12" x14ac:dyDescent="0.2">
      <c r="A177" s="98" t="str">
        <f>Student_Vorname</f>
        <v>Hubert</v>
      </c>
      <c r="B177" s="98"/>
      <c r="C177" s="98"/>
      <c r="D177" s="98"/>
      <c r="E177" s="98"/>
      <c r="F177" s="99"/>
      <c r="G177" s="26"/>
      <c r="H177" s="77" t="str">
        <f>CONCATENATE(Ausbildungsbetrieb_Vorname, " ", Ausbildungsbetrieb_Name)</f>
        <v>Christian Ruppel</v>
      </c>
      <c r="I177" s="71"/>
      <c r="J177" s="71"/>
      <c r="K177" s="71"/>
      <c r="L177" s="71"/>
    </row>
    <row r="178" spans="1:12" ht="7.5" customHeight="1" x14ac:dyDescent="0.2">
      <c r="A178" s="70" t="s">
        <v>34</v>
      </c>
      <c r="B178" s="70"/>
      <c r="C178" s="70"/>
      <c r="D178" s="70"/>
      <c r="E178" s="70"/>
      <c r="F178" s="28"/>
      <c r="G178" s="28"/>
      <c r="H178" s="70" t="s">
        <v>78</v>
      </c>
      <c r="I178" s="70"/>
      <c r="J178" s="70"/>
      <c r="K178" s="70"/>
      <c r="L178" s="70"/>
    </row>
    <row r="179" spans="1:12" ht="7.5" customHeight="1" x14ac:dyDescent="0.2">
      <c r="A179" s="71"/>
      <c r="B179" s="71"/>
      <c r="C179" s="71"/>
      <c r="D179" s="71"/>
      <c r="E179" s="71"/>
      <c r="F179" s="26"/>
      <c r="G179" s="26"/>
      <c r="H179" s="71"/>
      <c r="I179" s="71"/>
      <c r="J179" s="71"/>
      <c r="K179" s="71"/>
      <c r="L179" s="71"/>
    </row>
    <row r="180" spans="1:12" x14ac:dyDescent="0.2">
      <c r="A180" s="98" t="str">
        <f>Student_Studiengruppe</f>
        <v>MB8</v>
      </c>
      <c r="B180" s="98"/>
      <c r="C180" s="98"/>
      <c r="D180" s="98"/>
      <c r="E180" s="98"/>
      <c r="F180" s="99"/>
      <c r="G180" s="26"/>
      <c r="H180" s="77" t="str">
        <f>Ausbildungsbetrieb_Email</f>
        <v>christian.ruppel@continental-corporaion.com</v>
      </c>
      <c r="I180" s="71"/>
      <c r="J180" s="71"/>
      <c r="K180" s="71"/>
      <c r="L180" s="71"/>
    </row>
    <row r="181" spans="1:12" ht="7.5" customHeight="1" x14ac:dyDescent="0.2">
      <c r="A181" s="70" t="s">
        <v>38</v>
      </c>
      <c r="B181" s="70"/>
      <c r="C181" s="70"/>
      <c r="D181" s="70"/>
      <c r="E181" s="70"/>
      <c r="F181" s="28"/>
      <c r="G181" s="28"/>
      <c r="H181" s="70" t="s">
        <v>79</v>
      </c>
      <c r="I181" s="70"/>
      <c r="J181" s="70"/>
      <c r="K181" s="70"/>
      <c r="L181" s="70"/>
    </row>
    <row r="182" spans="1:12" ht="7.5" customHeight="1" x14ac:dyDescent="0.2">
      <c r="A182" s="71"/>
      <c r="B182" s="71"/>
      <c r="C182" s="71"/>
      <c r="D182" s="71"/>
      <c r="E182" s="71"/>
      <c r="F182" s="26"/>
      <c r="G182" s="26"/>
      <c r="H182" s="71"/>
      <c r="I182" s="71"/>
      <c r="J182" s="71"/>
      <c r="K182" s="71"/>
      <c r="L182" s="71"/>
    </row>
    <row r="183" spans="1:12" x14ac:dyDescent="0.2">
      <c r="A183" s="98">
        <f>Student_Matrikelnummer</f>
        <v>3315035</v>
      </c>
      <c r="B183" s="98"/>
      <c r="C183" s="98"/>
      <c r="D183" s="98"/>
      <c r="E183" s="98"/>
      <c r="F183" s="99"/>
      <c r="G183" s="26"/>
      <c r="H183" s="77" t="str">
        <f>Ausbildungsbetrieb_Telefon</f>
        <v>0499417903612</v>
      </c>
      <c r="I183" s="71"/>
      <c r="J183" s="71"/>
      <c r="K183" s="71"/>
      <c r="L183" s="71"/>
    </row>
    <row r="184" spans="1:12" ht="7.5" customHeight="1" x14ac:dyDescent="0.2">
      <c r="A184" s="70" t="s">
        <v>41</v>
      </c>
      <c r="B184" s="70"/>
      <c r="C184" s="70"/>
      <c r="D184" s="70"/>
      <c r="E184" s="70"/>
      <c r="F184" s="28"/>
      <c r="G184" s="28"/>
      <c r="H184" s="70" t="s">
        <v>80</v>
      </c>
      <c r="I184" s="70"/>
      <c r="J184" s="70"/>
      <c r="K184" s="70"/>
      <c r="L184" s="70"/>
    </row>
    <row r="185" spans="1:12" ht="7.5" customHeight="1" thickBot="1" x14ac:dyDescent="0.25">
      <c r="A185" s="71"/>
      <c r="B185" s="71"/>
      <c r="C185" s="71"/>
      <c r="D185" s="71"/>
      <c r="E185" s="71"/>
      <c r="F185" s="26"/>
      <c r="G185" s="26"/>
      <c r="H185" s="71"/>
      <c r="I185" s="71"/>
      <c r="J185" s="71"/>
      <c r="K185" s="71"/>
      <c r="L185" s="71"/>
    </row>
    <row r="186" spans="1:12" x14ac:dyDescent="0.2">
      <c r="A186" s="72"/>
      <c r="B186" s="73"/>
      <c r="C186" s="73"/>
      <c r="D186" s="73"/>
      <c r="E186" s="73" t="s">
        <v>81</v>
      </c>
      <c r="F186" s="15"/>
      <c r="G186" s="15"/>
      <c r="H186" s="74" t="s">
        <v>82</v>
      </c>
      <c r="I186" s="69"/>
      <c r="J186" s="69"/>
      <c r="K186" s="69"/>
      <c r="L186" s="69"/>
    </row>
    <row r="187" spans="1:12" ht="45" customHeight="1" thickBot="1" x14ac:dyDescent="0.25">
      <c r="A187" s="100" t="s">
        <v>83</v>
      </c>
      <c r="B187" s="101"/>
      <c r="C187" s="75" t="s">
        <v>84</v>
      </c>
      <c r="D187" s="75"/>
      <c r="E187" s="102" t="s">
        <v>85</v>
      </c>
      <c r="F187" s="103"/>
      <c r="G187" s="18"/>
      <c r="H187" s="76" t="s">
        <v>86</v>
      </c>
      <c r="I187" s="69"/>
      <c r="J187" s="69"/>
      <c r="K187" s="69"/>
      <c r="L187" s="69"/>
    </row>
    <row r="188" spans="1:12" ht="15" thickBot="1" x14ac:dyDescent="0.25">
      <c r="A188" s="50">
        <f>A172+1</f>
        <v>113</v>
      </c>
      <c r="B188" s="51" t="str">
        <f>IF(WEEKDAY(C188,2)=1,"Mo",IF(WEEKDAY(C188,2)=2,"Di",IF(WEEKDAY(C188,2)=3,"Mi",IF(WEEKDAY(C188,2)=4,"Do.",IF(WEEKDAY(C188,2)=5,"Fr.",IF(WEEKDAY(C188,2)=6,"Sa.","So"))))))</f>
        <v>Mo</v>
      </c>
      <c r="C188" s="52">
        <f>C172+1</f>
        <v>46013</v>
      </c>
      <c r="D188" s="53"/>
      <c r="E188" s="54"/>
      <c r="F188" s="6" t="s">
        <v>88</v>
      </c>
      <c r="G188" s="8" t="s">
        <v>53</v>
      </c>
      <c r="H188" s="89" t="s">
        <v>206</v>
      </c>
      <c r="I188" s="79"/>
      <c r="J188" s="79"/>
      <c r="K188" s="79"/>
      <c r="L188" s="79"/>
    </row>
    <row r="189" spans="1:12" x14ac:dyDescent="0.2">
      <c r="A189" s="56">
        <f>A188+1</f>
        <v>114</v>
      </c>
      <c r="B189" s="57" t="str">
        <f t="shared" ref="B189:B215" si="12">IF(WEEKDAY(C189,2)=1,"Mo",IF(WEEKDAY(C189,2)=2,"Di",IF(WEEKDAY(C189,2)=3,"Mi",IF(WEEKDAY(C189,2)=4,"Do.",IF(WEEKDAY(C189,2)=5,"Fr.",IF(WEEKDAY(C189,2)=6,"Sa.","So"))))))</f>
        <v>Di</v>
      </c>
      <c r="C189" s="58">
        <f>C188+1</f>
        <v>46014</v>
      </c>
      <c r="D189" s="59"/>
      <c r="E189" s="60"/>
      <c r="F189" s="2" t="s">
        <v>88</v>
      </c>
      <c r="G189" s="3" t="s">
        <v>53</v>
      </c>
      <c r="H189" s="89" t="s">
        <v>207</v>
      </c>
      <c r="I189" s="79"/>
      <c r="J189" s="79"/>
      <c r="K189" s="79"/>
      <c r="L189" s="79"/>
    </row>
    <row r="190" spans="1:12" x14ac:dyDescent="0.2">
      <c r="A190" s="56">
        <f t="shared" ref="A190:A214" si="13">A189+1</f>
        <v>115</v>
      </c>
      <c r="B190" s="57" t="str">
        <f t="shared" si="12"/>
        <v>Mi</v>
      </c>
      <c r="C190" s="58">
        <f t="shared" ref="C190:C215" si="14">C189+1</f>
        <v>46015</v>
      </c>
      <c r="D190" s="59"/>
      <c r="E190" s="60"/>
      <c r="F190" s="2" t="s">
        <v>88</v>
      </c>
      <c r="G190" s="3" t="s">
        <v>53</v>
      </c>
      <c r="H190" s="61" t="s">
        <v>195</v>
      </c>
      <c r="I190" s="79"/>
      <c r="J190" s="79"/>
      <c r="K190" s="79"/>
      <c r="L190" s="79"/>
    </row>
    <row r="191" spans="1:12" x14ac:dyDescent="0.2">
      <c r="A191" s="56">
        <f t="shared" si="13"/>
        <v>116</v>
      </c>
      <c r="B191" s="57" t="str">
        <f t="shared" si="12"/>
        <v>Do.</v>
      </c>
      <c r="C191" s="58">
        <f t="shared" si="14"/>
        <v>46016</v>
      </c>
      <c r="D191" s="59" t="s">
        <v>139</v>
      </c>
      <c r="E191" s="60"/>
      <c r="F191" s="2" t="s">
        <v>88</v>
      </c>
      <c r="G191" s="3" t="s">
        <v>53</v>
      </c>
      <c r="H191" s="88" t="s">
        <v>140</v>
      </c>
      <c r="I191" s="79"/>
      <c r="J191" s="79"/>
      <c r="K191" s="79"/>
      <c r="L191" s="79"/>
    </row>
    <row r="192" spans="1:12" x14ac:dyDescent="0.2">
      <c r="A192" s="56">
        <f t="shared" si="13"/>
        <v>117</v>
      </c>
      <c r="B192" s="57" t="str">
        <f t="shared" si="12"/>
        <v>Fr.</v>
      </c>
      <c r="C192" s="58">
        <f t="shared" si="14"/>
        <v>46017</v>
      </c>
      <c r="D192" s="59" t="s">
        <v>139</v>
      </c>
      <c r="E192" s="60"/>
      <c r="F192" s="2" t="s">
        <v>88</v>
      </c>
      <c r="G192" s="3" t="s">
        <v>53</v>
      </c>
      <c r="H192" s="90" t="s">
        <v>140</v>
      </c>
      <c r="I192" s="79"/>
      <c r="J192" s="79"/>
      <c r="K192" s="79"/>
      <c r="L192" s="79"/>
    </row>
    <row r="193" spans="1:12" x14ac:dyDescent="0.2">
      <c r="A193" s="56">
        <f t="shared" si="13"/>
        <v>118</v>
      </c>
      <c r="B193" s="57" t="str">
        <f t="shared" si="12"/>
        <v>Sa.</v>
      </c>
      <c r="C193" s="58">
        <f t="shared" si="14"/>
        <v>46018</v>
      </c>
      <c r="D193" s="59"/>
      <c r="E193" s="60"/>
      <c r="F193" s="2" t="s">
        <v>88</v>
      </c>
      <c r="G193" s="3" t="s">
        <v>53</v>
      </c>
      <c r="H193" s="61"/>
      <c r="I193" s="79"/>
      <c r="J193" s="79"/>
      <c r="K193" s="79"/>
      <c r="L193" s="79"/>
    </row>
    <row r="194" spans="1:12" x14ac:dyDescent="0.2">
      <c r="A194" s="56">
        <f t="shared" si="13"/>
        <v>119</v>
      </c>
      <c r="B194" s="57" t="str">
        <f t="shared" si="12"/>
        <v>So</v>
      </c>
      <c r="C194" s="58">
        <f t="shared" si="14"/>
        <v>46019</v>
      </c>
      <c r="D194" s="59"/>
      <c r="E194" s="60"/>
      <c r="F194" s="2" t="s">
        <v>88</v>
      </c>
      <c r="G194" s="3" t="s">
        <v>53</v>
      </c>
      <c r="H194" s="61" t="s">
        <v>208</v>
      </c>
      <c r="I194" s="79"/>
      <c r="J194" s="79"/>
      <c r="K194" s="79"/>
      <c r="L194" s="79"/>
    </row>
    <row r="195" spans="1:12" x14ac:dyDescent="0.2">
      <c r="A195" s="56">
        <f t="shared" si="13"/>
        <v>120</v>
      </c>
      <c r="B195" s="57" t="str">
        <f t="shared" si="12"/>
        <v>Mo</v>
      </c>
      <c r="C195" s="58">
        <f t="shared" si="14"/>
        <v>46020</v>
      </c>
      <c r="D195" s="59"/>
      <c r="E195" s="60"/>
      <c r="F195" s="2" t="s">
        <v>88</v>
      </c>
      <c r="G195" s="3" t="s">
        <v>53</v>
      </c>
      <c r="H195" s="88" t="s">
        <v>183</v>
      </c>
      <c r="I195" s="79"/>
      <c r="J195" s="79"/>
      <c r="K195" s="79"/>
      <c r="L195" s="79"/>
    </row>
    <row r="196" spans="1:12" x14ac:dyDescent="0.2">
      <c r="A196" s="56">
        <f t="shared" si="13"/>
        <v>121</v>
      </c>
      <c r="B196" s="57" t="str">
        <f t="shared" si="12"/>
        <v>Di</v>
      </c>
      <c r="C196" s="58">
        <f t="shared" si="14"/>
        <v>46021</v>
      </c>
      <c r="D196" s="59"/>
      <c r="E196" s="60"/>
      <c r="F196" s="2" t="s">
        <v>88</v>
      </c>
      <c r="G196" s="3" t="s">
        <v>53</v>
      </c>
      <c r="H196" s="88" t="s">
        <v>183</v>
      </c>
      <c r="I196" s="79"/>
      <c r="J196" s="79"/>
      <c r="K196" s="79"/>
      <c r="L196" s="79"/>
    </row>
    <row r="197" spans="1:12" x14ac:dyDescent="0.2">
      <c r="A197" s="56">
        <f t="shared" si="13"/>
        <v>122</v>
      </c>
      <c r="B197" s="57" t="str">
        <f t="shared" si="12"/>
        <v>Mi</v>
      </c>
      <c r="C197" s="58">
        <f t="shared" si="14"/>
        <v>46022</v>
      </c>
      <c r="D197" s="59"/>
      <c r="E197" s="60"/>
      <c r="F197" s="2" t="s">
        <v>88</v>
      </c>
      <c r="G197" s="3" t="s">
        <v>53</v>
      </c>
      <c r="H197" s="61" t="s">
        <v>195</v>
      </c>
      <c r="I197" s="79"/>
      <c r="J197" s="79"/>
      <c r="K197" s="79"/>
      <c r="L197" s="79"/>
    </row>
    <row r="198" spans="1:12" x14ac:dyDescent="0.2">
      <c r="A198" s="56">
        <f t="shared" si="13"/>
        <v>123</v>
      </c>
      <c r="B198" s="57" t="str">
        <f t="shared" si="12"/>
        <v>Do.</v>
      </c>
      <c r="C198" s="58">
        <f t="shared" si="14"/>
        <v>46023</v>
      </c>
      <c r="D198" s="59" t="s">
        <v>139</v>
      </c>
      <c r="E198" s="60"/>
      <c r="F198" s="2" t="s">
        <v>88</v>
      </c>
      <c r="G198" s="3" t="s">
        <v>53</v>
      </c>
      <c r="H198" s="88" t="s">
        <v>140</v>
      </c>
      <c r="I198" s="79"/>
      <c r="J198" s="79"/>
      <c r="K198" s="79"/>
      <c r="L198" s="79"/>
    </row>
    <row r="199" spans="1:12" x14ac:dyDescent="0.2">
      <c r="A199" s="56">
        <f t="shared" si="13"/>
        <v>124</v>
      </c>
      <c r="B199" s="57" t="str">
        <f t="shared" si="12"/>
        <v>Fr.</v>
      </c>
      <c r="C199" s="58">
        <f t="shared" si="14"/>
        <v>46024</v>
      </c>
      <c r="D199" s="59"/>
      <c r="E199" s="60"/>
      <c r="F199" s="2" t="s">
        <v>88</v>
      </c>
      <c r="G199" s="3" t="s">
        <v>53</v>
      </c>
      <c r="H199" s="61" t="s">
        <v>209</v>
      </c>
      <c r="I199" s="79"/>
      <c r="J199" s="79"/>
      <c r="K199" s="79"/>
      <c r="L199" s="79"/>
    </row>
    <row r="200" spans="1:12" x14ac:dyDescent="0.2">
      <c r="A200" s="56">
        <f t="shared" si="13"/>
        <v>125</v>
      </c>
      <c r="B200" s="57" t="str">
        <f t="shared" si="12"/>
        <v>Sa.</v>
      </c>
      <c r="C200" s="58">
        <f t="shared" si="14"/>
        <v>46025</v>
      </c>
      <c r="D200" s="59"/>
      <c r="E200" s="60"/>
      <c r="F200" s="2" t="s">
        <v>88</v>
      </c>
      <c r="G200" s="3" t="s">
        <v>53</v>
      </c>
      <c r="H200" s="61" t="s">
        <v>210</v>
      </c>
      <c r="I200" s="79"/>
      <c r="J200" s="79"/>
      <c r="K200" s="79"/>
      <c r="L200" s="79"/>
    </row>
    <row r="201" spans="1:12" x14ac:dyDescent="0.2">
      <c r="A201" s="56">
        <f t="shared" si="13"/>
        <v>126</v>
      </c>
      <c r="B201" s="57" t="str">
        <f t="shared" si="12"/>
        <v>So</v>
      </c>
      <c r="C201" s="58">
        <f t="shared" si="14"/>
        <v>46026</v>
      </c>
      <c r="D201" s="59"/>
      <c r="E201" s="60"/>
      <c r="F201" s="2" t="s">
        <v>88</v>
      </c>
      <c r="G201" s="3" t="s">
        <v>53</v>
      </c>
      <c r="H201" s="61"/>
      <c r="I201" s="79"/>
      <c r="J201" s="79"/>
      <c r="K201" s="79"/>
      <c r="L201" s="79"/>
    </row>
    <row r="202" spans="1:12" x14ac:dyDescent="0.2">
      <c r="A202" s="56">
        <f t="shared" si="13"/>
        <v>127</v>
      </c>
      <c r="B202" s="57" t="str">
        <f t="shared" si="12"/>
        <v>Mo</v>
      </c>
      <c r="C202" s="58">
        <f t="shared" si="14"/>
        <v>46027</v>
      </c>
      <c r="D202" s="59"/>
      <c r="E202" s="60"/>
      <c r="F202" s="2" t="s">
        <v>88</v>
      </c>
      <c r="G202" s="3" t="s">
        <v>53</v>
      </c>
      <c r="H202" s="61"/>
      <c r="I202" s="79"/>
      <c r="J202" s="79"/>
      <c r="K202" s="79"/>
      <c r="L202" s="79"/>
    </row>
    <row r="203" spans="1:12" x14ac:dyDescent="0.2">
      <c r="A203" s="56">
        <f t="shared" si="13"/>
        <v>128</v>
      </c>
      <c r="B203" s="57" t="str">
        <f t="shared" si="12"/>
        <v>Di</v>
      </c>
      <c r="C203" s="58">
        <f t="shared" si="14"/>
        <v>46028</v>
      </c>
      <c r="D203" s="59" t="s">
        <v>139</v>
      </c>
      <c r="E203" s="60"/>
      <c r="F203" s="2" t="s">
        <v>88</v>
      </c>
      <c r="G203" s="3" t="s">
        <v>53</v>
      </c>
      <c r="H203" s="88" t="s">
        <v>140</v>
      </c>
      <c r="I203" s="79"/>
      <c r="J203" s="79"/>
      <c r="K203" s="79"/>
      <c r="L203" s="79"/>
    </row>
    <row r="204" spans="1:12" x14ac:dyDescent="0.2">
      <c r="A204" s="56">
        <f t="shared" si="13"/>
        <v>129</v>
      </c>
      <c r="B204" s="57" t="str">
        <f t="shared" si="12"/>
        <v>Mi</v>
      </c>
      <c r="C204" s="58">
        <f t="shared" si="14"/>
        <v>46029</v>
      </c>
      <c r="D204" s="59"/>
      <c r="E204" s="60"/>
      <c r="F204" s="2" t="s">
        <v>88</v>
      </c>
      <c r="G204" s="3" t="s">
        <v>53</v>
      </c>
      <c r="H204" s="61"/>
      <c r="I204" s="79"/>
      <c r="J204" s="79"/>
      <c r="K204" s="79"/>
      <c r="L204" s="79"/>
    </row>
    <row r="205" spans="1:12" x14ac:dyDescent="0.2">
      <c r="A205" s="56">
        <f t="shared" si="13"/>
        <v>130</v>
      </c>
      <c r="B205" s="57" t="str">
        <f t="shared" si="12"/>
        <v>Do.</v>
      </c>
      <c r="C205" s="58">
        <f t="shared" si="14"/>
        <v>46030</v>
      </c>
      <c r="D205" s="59"/>
      <c r="E205" s="60"/>
      <c r="F205" s="2" t="s">
        <v>88</v>
      </c>
      <c r="G205" s="3" t="s">
        <v>53</v>
      </c>
      <c r="H205" s="61"/>
      <c r="I205" s="79"/>
      <c r="J205" s="79"/>
      <c r="K205" s="79"/>
      <c r="L205" s="79"/>
    </row>
    <row r="206" spans="1:12" x14ac:dyDescent="0.2">
      <c r="A206" s="56">
        <f t="shared" si="13"/>
        <v>131</v>
      </c>
      <c r="B206" s="57" t="str">
        <f t="shared" si="12"/>
        <v>Fr.</v>
      </c>
      <c r="C206" s="58">
        <f t="shared" si="14"/>
        <v>46031</v>
      </c>
      <c r="D206" s="59"/>
      <c r="E206" s="60"/>
      <c r="F206" s="2" t="s">
        <v>88</v>
      </c>
      <c r="G206" s="3" t="s">
        <v>53</v>
      </c>
      <c r="H206" s="61"/>
      <c r="I206" s="79"/>
      <c r="J206" s="79"/>
      <c r="K206" s="79"/>
      <c r="L206" s="79"/>
    </row>
    <row r="207" spans="1:12" x14ac:dyDescent="0.2">
      <c r="A207" s="56">
        <f t="shared" si="13"/>
        <v>132</v>
      </c>
      <c r="B207" s="57" t="str">
        <f t="shared" si="12"/>
        <v>Sa.</v>
      </c>
      <c r="C207" s="58">
        <f t="shared" si="14"/>
        <v>46032</v>
      </c>
      <c r="D207" s="59"/>
      <c r="E207" s="60"/>
      <c r="F207" s="2" t="s">
        <v>88</v>
      </c>
      <c r="G207" s="3" t="s">
        <v>53</v>
      </c>
      <c r="H207" s="61" t="s">
        <v>211</v>
      </c>
      <c r="I207" s="79"/>
      <c r="J207" s="79"/>
      <c r="K207" s="79"/>
      <c r="L207" s="79"/>
    </row>
    <row r="208" spans="1:12" x14ac:dyDescent="0.2">
      <c r="A208" s="56">
        <f t="shared" si="13"/>
        <v>133</v>
      </c>
      <c r="B208" s="57" t="str">
        <f t="shared" si="12"/>
        <v>So</v>
      </c>
      <c r="C208" s="58">
        <f t="shared" si="14"/>
        <v>46033</v>
      </c>
      <c r="D208" s="59"/>
      <c r="E208" s="60"/>
      <c r="F208" s="2" t="s">
        <v>88</v>
      </c>
      <c r="G208" s="3" t="s">
        <v>53</v>
      </c>
      <c r="H208" s="61"/>
      <c r="I208" s="79"/>
      <c r="J208" s="79"/>
      <c r="K208" s="79"/>
      <c r="L208" s="79"/>
    </row>
    <row r="209" spans="1:27" x14ac:dyDescent="0.2">
      <c r="A209" s="56">
        <f t="shared" si="13"/>
        <v>134</v>
      </c>
      <c r="B209" s="57" t="str">
        <f t="shared" si="12"/>
        <v>Mo</v>
      </c>
      <c r="C209" s="58">
        <f t="shared" si="14"/>
        <v>46034</v>
      </c>
      <c r="D209" s="59"/>
      <c r="E209" s="60"/>
      <c r="F209" s="2" t="s">
        <v>88</v>
      </c>
      <c r="G209" s="3" t="s">
        <v>53</v>
      </c>
      <c r="H209" s="61"/>
      <c r="I209" s="79"/>
      <c r="J209" s="79"/>
      <c r="K209" s="79"/>
      <c r="L209" s="79"/>
    </row>
    <row r="210" spans="1:27" x14ac:dyDescent="0.2">
      <c r="A210" s="56">
        <f t="shared" si="13"/>
        <v>135</v>
      </c>
      <c r="B210" s="57" t="str">
        <f t="shared" si="12"/>
        <v>Di</v>
      </c>
      <c r="C210" s="58">
        <f t="shared" si="14"/>
        <v>46035</v>
      </c>
      <c r="D210" s="59"/>
      <c r="E210" s="60"/>
      <c r="F210" s="2" t="s">
        <v>88</v>
      </c>
      <c r="G210" s="3" t="s">
        <v>53</v>
      </c>
      <c r="H210" s="61"/>
      <c r="I210" s="79"/>
      <c r="J210" s="79"/>
      <c r="K210" s="79"/>
      <c r="L210" s="79"/>
    </row>
    <row r="211" spans="1:27" x14ac:dyDescent="0.2">
      <c r="A211" s="56">
        <f t="shared" si="13"/>
        <v>136</v>
      </c>
      <c r="B211" s="57" t="str">
        <f t="shared" si="12"/>
        <v>Mi</v>
      </c>
      <c r="C211" s="58">
        <f t="shared" si="14"/>
        <v>46036</v>
      </c>
      <c r="D211" s="59"/>
      <c r="E211" s="62"/>
      <c r="F211" s="2" t="s">
        <v>88</v>
      </c>
      <c r="G211" s="3" t="s">
        <v>53</v>
      </c>
      <c r="H211" s="61"/>
      <c r="I211" s="79"/>
      <c r="J211" s="79"/>
      <c r="K211" s="79"/>
      <c r="L211" s="79"/>
    </row>
    <row r="212" spans="1:27" x14ac:dyDescent="0.2">
      <c r="A212" s="56">
        <f t="shared" si="13"/>
        <v>137</v>
      </c>
      <c r="B212" s="57" t="str">
        <f t="shared" si="12"/>
        <v>Do.</v>
      </c>
      <c r="C212" s="58">
        <f t="shared" si="14"/>
        <v>46037</v>
      </c>
      <c r="D212" s="59"/>
      <c r="E212" s="62"/>
      <c r="F212" s="2" t="s">
        <v>88</v>
      </c>
      <c r="G212" s="3" t="s">
        <v>53</v>
      </c>
      <c r="H212" s="61"/>
      <c r="I212" s="79"/>
      <c r="J212" s="79"/>
      <c r="K212" s="79"/>
      <c r="L212" s="79"/>
    </row>
    <row r="213" spans="1:27" x14ac:dyDescent="0.2">
      <c r="A213" s="56">
        <f t="shared" si="13"/>
        <v>138</v>
      </c>
      <c r="B213" s="57" t="str">
        <f t="shared" si="12"/>
        <v>Fr.</v>
      </c>
      <c r="C213" s="58">
        <f t="shared" si="14"/>
        <v>46038</v>
      </c>
      <c r="D213" s="59"/>
      <c r="E213" s="60"/>
      <c r="F213" s="2" t="s">
        <v>88</v>
      </c>
      <c r="G213" s="3" t="s">
        <v>53</v>
      </c>
      <c r="H213" s="61" t="s">
        <v>212</v>
      </c>
      <c r="I213" s="79"/>
      <c r="J213" s="79"/>
      <c r="K213" s="79"/>
      <c r="L213" s="79"/>
    </row>
    <row r="214" spans="1:27" x14ac:dyDescent="0.2">
      <c r="A214" s="56">
        <f t="shared" si="13"/>
        <v>139</v>
      </c>
      <c r="B214" s="57" t="str">
        <f t="shared" si="12"/>
        <v>Sa.</v>
      </c>
      <c r="C214" s="58">
        <f t="shared" si="14"/>
        <v>46039</v>
      </c>
      <c r="D214" s="59"/>
      <c r="E214" s="60"/>
      <c r="F214" s="2" t="s">
        <v>88</v>
      </c>
      <c r="G214" s="3" t="s">
        <v>53</v>
      </c>
      <c r="H214" s="61"/>
      <c r="I214" s="79"/>
      <c r="J214" s="79"/>
      <c r="K214" s="79"/>
      <c r="L214" s="79"/>
    </row>
    <row r="215" spans="1:27" ht="15" thickBot="1" x14ac:dyDescent="0.25">
      <c r="A215" s="63">
        <f>A214+1</f>
        <v>140</v>
      </c>
      <c r="B215" s="64" t="str">
        <f t="shared" si="12"/>
        <v>So</v>
      </c>
      <c r="C215" s="65">
        <f t="shared" si="14"/>
        <v>46040</v>
      </c>
      <c r="D215" s="66"/>
      <c r="E215" s="67"/>
      <c r="F215" s="11" t="s">
        <v>88</v>
      </c>
      <c r="G215" s="13" t="s">
        <v>53</v>
      </c>
      <c r="H215" s="68"/>
      <c r="I215" s="79"/>
      <c r="J215" s="79"/>
      <c r="K215" s="79"/>
      <c r="L215" s="79"/>
      <c r="N215" s="47"/>
      <c r="O215" s="48" t="s">
        <v>108</v>
      </c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spans="1:27" x14ac:dyDescent="0.2">
      <c r="A216" s="69"/>
      <c r="B216" s="69"/>
      <c r="C216" s="69"/>
      <c r="D216" s="69"/>
      <c r="E216" s="69"/>
      <c r="F216" s="24"/>
      <c r="G216" s="24"/>
      <c r="H216" s="69"/>
      <c r="I216" s="69"/>
      <c r="J216" s="69"/>
      <c r="K216" s="69"/>
      <c r="L216" s="69"/>
      <c r="N216" s="46"/>
      <c r="O216" s="1" t="s">
        <v>104</v>
      </c>
    </row>
    <row r="217" spans="1:27" x14ac:dyDescent="0.2">
      <c r="A217" s="98" t="str">
        <f>Student_Name</f>
        <v>Dirnberger</v>
      </c>
      <c r="B217" s="98"/>
      <c r="C217" s="98"/>
      <c r="D217" s="98"/>
      <c r="E217" s="98"/>
      <c r="F217" s="99"/>
      <c r="G217" s="26"/>
      <c r="H217" s="77" t="str">
        <f>Ausbildungsbetrieb_Unternehmen</f>
        <v>Continental Automotiv Technologies GmbH</v>
      </c>
      <c r="I217" s="71"/>
      <c r="J217" s="71"/>
      <c r="K217" s="71"/>
      <c r="L217" s="71"/>
    </row>
    <row r="218" spans="1:27" ht="7.5" customHeight="1" x14ac:dyDescent="0.2">
      <c r="A218" s="70" t="s">
        <v>31</v>
      </c>
      <c r="B218" s="70"/>
      <c r="C218" s="70"/>
      <c r="D218" s="70"/>
      <c r="E218" s="70"/>
      <c r="F218" s="28"/>
      <c r="G218" s="28"/>
      <c r="H218" s="70" t="s">
        <v>32</v>
      </c>
      <c r="I218" s="70"/>
      <c r="J218" s="70"/>
      <c r="K218" s="70"/>
      <c r="L218" s="70"/>
    </row>
    <row r="219" spans="1:27" ht="7.5" customHeight="1" x14ac:dyDescent="0.2">
      <c r="A219" s="71"/>
      <c r="B219" s="71"/>
      <c r="C219" s="71"/>
      <c r="D219" s="71"/>
      <c r="E219" s="71"/>
      <c r="F219" s="26"/>
      <c r="G219" s="26"/>
      <c r="H219" s="71"/>
      <c r="I219" s="71"/>
      <c r="J219" s="71"/>
      <c r="K219" s="71"/>
      <c r="L219" s="71"/>
    </row>
    <row r="220" spans="1:27" x14ac:dyDescent="0.2">
      <c r="A220" s="98" t="str">
        <f>Student_Vorname</f>
        <v>Hubert</v>
      </c>
      <c r="B220" s="98"/>
      <c r="C220" s="98"/>
      <c r="D220" s="98"/>
      <c r="E220" s="98"/>
      <c r="F220" s="99"/>
      <c r="G220" s="26"/>
      <c r="H220" s="77" t="str">
        <f>CONCATENATE(Ausbildungsbetrieb_Vorname, " ", Ausbildungsbetrieb_Name)</f>
        <v>Christian Ruppel</v>
      </c>
      <c r="I220" s="71"/>
      <c r="J220" s="71"/>
      <c r="K220" s="71"/>
      <c r="L220" s="71"/>
    </row>
    <row r="221" spans="1:27" ht="7.5" customHeight="1" x14ac:dyDescent="0.2">
      <c r="A221" s="70" t="s">
        <v>34</v>
      </c>
      <c r="B221" s="70"/>
      <c r="C221" s="70"/>
      <c r="D221" s="70"/>
      <c r="E221" s="70"/>
      <c r="F221" s="28"/>
      <c r="G221" s="28"/>
      <c r="H221" s="70" t="s">
        <v>78</v>
      </c>
      <c r="I221" s="70"/>
      <c r="J221" s="70"/>
      <c r="K221" s="70"/>
      <c r="L221" s="70"/>
    </row>
    <row r="222" spans="1:27" ht="7.5" customHeight="1" x14ac:dyDescent="0.2">
      <c r="A222" s="71"/>
      <c r="B222" s="71"/>
      <c r="C222" s="71"/>
      <c r="D222" s="71"/>
      <c r="E222" s="71"/>
      <c r="F222" s="26"/>
      <c r="G222" s="26"/>
      <c r="H222" s="71"/>
      <c r="I222" s="71"/>
      <c r="J222" s="71"/>
      <c r="K222" s="71"/>
      <c r="L222" s="71"/>
    </row>
    <row r="223" spans="1:27" x14ac:dyDescent="0.2">
      <c r="A223" s="98" t="str">
        <f>Student_Studiengruppe</f>
        <v>MB8</v>
      </c>
      <c r="B223" s="98"/>
      <c r="C223" s="98"/>
      <c r="D223" s="98"/>
      <c r="E223" s="98"/>
      <c r="F223" s="99"/>
      <c r="G223" s="26"/>
      <c r="H223" s="77" t="str">
        <f>Ausbildungsbetrieb_Email</f>
        <v>christian.ruppel@continental-corporaion.com</v>
      </c>
      <c r="I223" s="71"/>
      <c r="J223" s="71"/>
      <c r="K223" s="71"/>
      <c r="L223" s="71"/>
    </row>
    <row r="224" spans="1:27" ht="7.5" customHeight="1" x14ac:dyDescent="0.2">
      <c r="A224" s="70" t="s">
        <v>38</v>
      </c>
      <c r="B224" s="70"/>
      <c r="C224" s="70"/>
      <c r="D224" s="70"/>
      <c r="E224" s="70"/>
      <c r="F224" s="28"/>
      <c r="G224" s="28"/>
      <c r="H224" s="70" t="s">
        <v>79</v>
      </c>
      <c r="I224" s="70"/>
      <c r="J224" s="70"/>
      <c r="K224" s="70"/>
      <c r="L224" s="70"/>
    </row>
    <row r="225" spans="1:12" ht="7.5" customHeight="1" x14ac:dyDescent="0.2">
      <c r="A225" s="71"/>
      <c r="B225" s="71"/>
      <c r="C225" s="71"/>
      <c r="D225" s="71"/>
      <c r="E225" s="71"/>
      <c r="F225" s="26"/>
      <c r="G225" s="26"/>
      <c r="H225" s="71"/>
      <c r="I225" s="71"/>
      <c r="J225" s="71"/>
      <c r="K225" s="71"/>
      <c r="L225" s="71"/>
    </row>
    <row r="226" spans="1:12" x14ac:dyDescent="0.2">
      <c r="A226" s="98">
        <f>Student_Matrikelnummer</f>
        <v>3315035</v>
      </c>
      <c r="B226" s="98"/>
      <c r="C226" s="98"/>
      <c r="D226" s="98"/>
      <c r="E226" s="98"/>
      <c r="F226" s="99"/>
      <c r="G226" s="26"/>
      <c r="H226" s="77" t="str">
        <f>Ausbildungsbetrieb_Telefon</f>
        <v>0499417903612</v>
      </c>
      <c r="I226" s="71"/>
      <c r="J226" s="71"/>
      <c r="K226" s="71"/>
      <c r="L226" s="71"/>
    </row>
    <row r="227" spans="1:12" ht="7.5" customHeight="1" x14ac:dyDescent="0.2">
      <c r="A227" s="70" t="s">
        <v>41</v>
      </c>
      <c r="B227" s="70"/>
      <c r="C227" s="70"/>
      <c r="D227" s="70"/>
      <c r="E227" s="70"/>
      <c r="F227" s="28"/>
      <c r="G227" s="28"/>
      <c r="H227" s="70" t="s">
        <v>80</v>
      </c>
      <c r="I227" s="70"/>
      <c r="J227" s="70"/>
      <c r="K227" s="70"/>
      <c r="L227" s="70"/>
    </row>
    <row r="228" spans="1:12" ht="7.5" customHeight="1" thickBot="1" x14ac:dyDescent="0.25">
      <c r="A228" s="71"/>
      <c r="B228" s="71"/>
      <c r="C228" s="71"/>
      <c r="D228" s="71"/>
      <c r="E228" s="71"/>
      <c r="F228" s="26"/>
      <c r="G228" s="26"/>
      <c r="H228" s="71"/>
      <c r="I228" s="71"/>
      <c r="J228" s="71"/>
      <c r="K228" s="71"/>
      <c r="L228" s="71"/>
    </row>
    <row r="229" spans="1:12" x14ac:dyDescent="0.2">
      <c r="A229" s="72"/>
      <c r="B229" s="73"/>
      <c r="C229" s="73"/>
      <c r="D229" s="73"/>
      <c r="E229" s="73" t="s">
        <v>81</v>
      </c>
      <c r="F229" s="15"/>
      <c r="G229" s="15"/>
      <c r="H229" s="74" t="s">
        <v>82</v>
      </c>
      <c r="I229" s="69"/>
      <c r="J229" s="69"/>
      <c r="K229" s="69"/>
      <c r="L229" s="69"/>
    </row>
    <row r="230" spans="1:12" ht="45" customHeight="1" thickBot="1" x14ac:dyDescent="0.25">
      <c r="A230" s="100" t="s">
        <v>83</v>
      </c>
      <c r="B230" s="101"/>
      <c r="C230" s="75" t="s">
        <v>84</v>
      </c>
      <c r="D230" s="75"/>
      <c r="E230" s="102" t="s">
        <v>85</v>
      </c>
      <c r="F230" s="103"/>
      <c r="G230" s="18"/>
      <c r="H230" s="76" t="s">
        <v>86</v>
      </c>
      <c r="I230" s="69"/>
      <c r="J230" s="69"/>
      <c r="K230" s="69"/>
      <c r="L230" s="69"/>
    </row>
    <row r="231" spans="1:12" x14ac:dyDescent="0.2">
      <c r="A231" s="50">
        <f>A215+1</f>
        <v>141</v>
      </c>
      <c r="B231" s="51" t="str">
        <f>IF(WEEKDAY(C231,2)=1,"Mo",IF(WEEKDAY(C231,2)=2,"Di",IF(WEEKDAY(C231,2)=3,"Mi",IF(WEEKDAY(C231,2)=4,"Do.",IF(WEEKDAY(C231,2)=5,"Fr.",IF(WEEKDAY(C231,2)=6,"Sa.","So"))))))</f>
        <v>Mo</v>
      </c>
      <c r="C231" s="52">
        <f>C215+1</f>
        <v>46041</v>
      </c>
      <c r="D231" s="53"/>
      <c r="E231" s="54"/>
      <c r="F231" s="6" t="s">
        <v>88</v>
      </c>
      <c r="G231" s="8" t="s">
        <v>53</v>
      </c>
      <c r="H231" s="55"/>
      <c r="I231" s="79"/>
      <c r="J231" s="79"/>
      <c r="K231" s="79"/>
      <c r="L231" s="79"/>
    </row>
    <row r="232" spans="1:12" x14ac:dyDescent="0.2">
      <c r="A232" s="56">
        <f>A231+1</f>
        <v>142</v>
      </c>
      <c r="B232" s="57" t="str">
        <f t="shared" ref="B232:B258" si="15">IF(WEEKDAY(C232,2)=1,"Mo",IF(WEEKDAY(C232,2)=2,"Di",IF(WEEKDAY(C232,2)=3,"Mi",IF(WEEKDAY(C232,2)=4,"Do.",IF(WEEKDAY(C232,2)=5,"Fr.",IF(WEEKDAY(C232,2)=6,"Sa.","So"))))))</f>
        <v>Di</v>
      </c>
      <c r="C232" s="58">
        <f>C231+1</f>
        <v>46042</v>
      </c>
      <c r="D232" s="59"/>
      <c r="E232" s="60"/>
      <c r="F232" s="2" t="s">
        <v>88</v>
      </c>
      <c r="G232" s="3" t="s">
        <v>53</v>
      </c>
      <c r="H232" s="61"/>
      <c r="I232" s="79"/>
      <c r="J232" s="79"/>
      <c r="K232" s="79"/>
      <c r="L232" s="79"/>
    </row>
    <row r="233" spans="1:12" x14ac:dyDescent="0.2">
      <c r="A233" s="56">
        <f t="shared" ref="A233:A257" si="16">A232+1</f>
        <v>143</v>
      </c>
      <c r="B233" s="57" t="str">
        <f t="shared" si="15"/>
        <v>Mi</v>
      </c>
      <c r="C233" s="58">
        <f t="shared" ref="C233:C258" si="17">C232+1</f>
        <v>46043</v>
      </c>
      <c r="D233" s="59"/>
      <c r="E233" s="60"/>
      <c r="F233" s="2" t="s">
        <v>88</v>
      </c>
      <c r="G233" s="3" t="s">
        <v>53</v>
      </c>
      <c r="H233" s="61"/>
      <c r="I233" s="79"/>
      <c r="J233" s="79"/>
      <c r="K233" s="79"/>
      <c r="L233" s="79"/>
    </row>
    <row r="234" spans="1:12" x14ac:dyDescent="0.2">
      <c r="A234" s="56">
        <f t="shared" si="16"/>
        <v>144</v>
      </c>
      <c r="B234" s="57" t="str">
        <f t="shared" si="15"/>
        <v>Do.</v>
      </c>
      <c r="C234" s="58">
        <f t="shared" si="17"/>
        <v>46044</v>
      </c>
      <c r="D234" s="59"/>
      <c r="E234" s="60"/>
      <c r="F234" s="2" t="s">
        <v>88</v>
      </c>
      <c r="G234" s="3" t="s">
        <v>53</v>
      </c>
      <c r="H234" s="61"/>
      <c r="I234" s="79"/>
      <c r="J234" s="79"/>
      <c r="K234" s="79"/>
      <c r="L234" s="79"/>
    </row>
    <row r="235" spans="1:12" x14ac:dyDescent="0.2">
      <c r="A235" s="56">
        <f t="shared" si="16"/>
        <v>145</v>
      </c>
      <c r="B235" s="57" t="str">
        <f t="shared" si="15"/>
        <v>Fr.</v>
      </c>
      <c r="C235" s="58">
        <f t="shared" si="17"/>
        <v>46045</v>
      </c>
      <c r="D235" s="59"/>
      <c r="E235" s="60"/>
      <c r="F235" s="2" t="s">
        <v>88</v>
      </c>
      <c r="G235" s="3" t="s">
        <v>53</v>
      </c>
      <c r="H235" s="61"/>
      <c r="I235" s="79"/>
      <c r="J235" s="79"/>
      <c r="K235" s="79"/>
      <c r="L235" s="79"/>
    </row>
    <row r="236" spans="1:12" x14ac:dyDescent="0.2">
      <c r="A236" s="56">
        <f t="shared" si="16"/>
        <v>146</v>
      </c>
      <c r="B236" s="57" t="str">
        <f t="shared" si="15"/>
        <v>Sa.</v>
      </c>
      <c r="C236" s="58">
        <f t="shared" si="17"/>
        <v>46046</v>
      </c>
      <c r="D236" s="59"/>
      <c r="E236" s="60"/>
      <c r="F236" s="2" t="s">
        <v>88</v>
      </c>
      <c r="G236" s="3" t="s">
        <v>53</v>
      </c>
      <c r="H236" s="61"/>
      <c r="I236" s="79"/>
      <c r="J236" s="79"/>
      <c r="K236" s="79"/>
      <c r="L236" s="79"/>
    </row>
    <row r="237" spans="1:12" x14ac:dyDescent="0.2">
      <c r="A237" s="56">
        <f t="shared" si="16"/>
        <v>147</v>
      </c>
      <c r="B237" s="57" t="str">
        <f t="shared" si="15"/>
        <v>So</v>
      </c>
      <c r="C237" s="58">
        <f t="shared" si="17"/>
        <v>46047</v>
      </c>
      <c r="D237" s="59"/>
      <c r="E237" s="60"/>
      <c r="F237" s="2" t="s">
        <v>88</v>
      </c>
      <c r="G237" s="3" t="s">
        <v>53</v>
      </c>
      <c r="H237" s="61"/>
      <c r="I237" s="79"/>
      <c r="J237" s="79"/>
      <c r="K237" s="79"/>
      <c r="L237" s="79"/>
    </row>
    <row r="238" spans="1:12" x14ac:dyDescent="0.2">
      <c r="A238" s="56">
        <f t="shared" si="16"/>
        <v>148</v>
      </c>
      <c r="B238" s="57" t="str">
        <f t="shared" si="15"/>
        <v>Mo</v>
      </c>
      <c r="C238" s="58">
        <f t="shared" si="17"/>
        <v>46048</v>
      </c>
      <c r="D238" s="59"/>
      <c r="E238" s="60"/>
      <c r="F238" s="2" t="s">
        <v>88</v>
      </c>
      <c r="G238" s="3" t="s">
        <v>53</v>
      </c>
      <c r="H238" s="61"/>
      <c r="I238" s="79"/>
      <c r="J238" s="79"/>
      <c r="K238" s="79"/>
      <c r="L238" s="79"/>
    </row>
    <row r="239" spans="1:12" x14ac:dyDescent="0.2">
      <c r="A239" s="56">
        <f t="shared" si="16"/>
        <v>149</v>
      </c>
      <c r="B239" s="57" t="str">
        <f t="shared" si="15"/>
        <v>Di</v>
      </c>
      <c r="C239" s="58">
        <f t="shared" si="17"/>
        <v>46049</v>
      </c>
      <c r="D239" s="59"/>
      <c r="E239" s="60"/>
      <c r="F239" s="2" t="s">
        <v>88</v>
      </c>
      <c r="G239" s="3" t="s">
        <v>53</v>
      </c>
      <c r="H239" s="61"/>
      <c r="I239" s="79"/>
      <c r="J239" s="79"/>
      <c r="K239" s="79"/>
      <c r="L239" s="79"/>
    </row>
    <row r="240" spans="1:12" x14ac:dyDescent="0.2">
      <c r="A240" s="56">
        <f t="shared" si="16"/>
        <v>150</v>
      </c>
      <c r="B240" s="57" t="str">
        <f t="shared" si="15"/>
        <v>Mi</v>
      </c>
      <c r="C240" s="58">
        <f t="shared" si="17"/>
        <v>46050</v>
      </c>
      <c r="D240" s="59"/>
      <c r="E240" s="60"/>
      <c r="F240" s="2" t="s">
        <v>88</v>
      </c>
      <c r="G240" s="3" t="s">
        <v>53</v>
      </c>
      <c r="H240" s="61"/>
      <c r="I240" s="79"/>
      <c r="J240" s="79"/>
      <c r="K240" s="79"/>
      <c r="L240" s="79"/>
    </row>
    <row r="241" spans="1:12" x14ac:dyDescent="0.2">
      <c r="A241" s="56">
        <f t="shared" si="16"/>
        <v>151</v>
      </c>
      <c r="B241" s="57" t="str">
        <f t="shared" si="15"/>
        <v>Do.</v>
      </c>
      <c r="C241" s="58">
        <f t="shared" si="17"/>
        <v>46051</v>
      </c>
      <c r="D241" s="59"/>
      <c r="E241" s="60"/>
      <c r="F241" s="2" t="s">
        <v>88</v>
      </c>
      <c r="G241" s="3" t="s">
        <v>53</v>
      </c>
      <c r="H241" s="61"/>
      <c r="I241" s="79"/>
      <c r="J241" s="79"/>
      <c r="K241" s="79"/>
      <c r="L241" s="79"/>
    </row>
    <row r="242" spans="1:12" x14ac:dyDescent="0.2">
      <c r="A242" s="56">
        <f t="shared" si="16"/>
        <v>152</v>
      </c>
      <c r="B242" s="57" t="str">
        <f t="shared" si="15"/>
        <v>Fr.</v>
      </c>
      <c r="C242" s="58">
        <f t="shared" si="17"/>
        <v>46052</v>
      </c>
      <c r="D242" s="59"/>
      <c r="E242" s="60"/>
      <c r="F242" s="2" t="s">
        <v>88</v>
      </c>
      <c r="G242" s="3" t="s">
        <v>53</v>
      </c>
      <c r="H242" s="61"/>
      <c r="I242" s="79"/>
      <c r="J242" s="79"/>
      <c r="K242" s="79"/>
      <c r="L242" s="79"/>
    </row>
    <row r="243" spans="1:12" x14ac:dyDescent="0.2">
      <c r="A243" s="56">
        <f t="shared" si="16"/>
        <v>153</v>
      </c>
      <c r="B243" s="57" t="str">
        <f t="shared" si="15"/>
        <v>Sa.</v>
      </c>
      <c r="C243" s="58">
        <f t="shared" si="17"/>
        <v>46053</v>
      </c>
      <c r="D243" s="59"/>
      <c r="E243" s="60"/>
      <c r="F243" s="2" t="s">
        <v>88</v>
      </c>
      <c r="G243" s="3" t="s">
        <v>53</v>
      </c>
      <c r="H243" s="61"/>
      <c r="I243" s="79"/>
      <c r="J243" s="79"/>
      <c r="K243" s="79"/>
      <c r="L243" s="79"/>
    </row>
    <row r="244" spans="1:12" x14ac:dyDescent="0.2">
      <c r="A244" s="56">
        <f t="shared" si="16"/>
        <v>154</v>
      </c>
      <c r="B244" s="57" t="str">
        <f t="shared" si="15"/>
        <v>So</v>
      </c>
      <c r="C244" s="58">
        <f t="shared" si="17"/>
        <v>46054</v>
      </c>
      <c r="D244" s="59"/>
      <c r="E244" s="60"/>
      <c r="F244" s="2" t="s">
        <v>88</v>
      </c>
      <c r="G244" s="3" t="s">
        <v>53</v>
      </c>
      <c r="H244" s="61"/>
      <c r="I244" s="79"/>
      <c r="J244" s="79"/>
      <c r="K244" s="79"/>
      <c r="L244" s="79"/>
    </row>
    <row r="245" spans="1:12" x14ac:dyDescent="0.2">
      <c r="A245" s="56">
        <f t="shared" si="16"/>
        <v>155</v>
      </c>
      <c r="B245" s="57" t="str">
        <f t="shared" si="15"/>
        <v>Mo</v>
      </c>
      <c r="C245" s="58">
        <f t="shared" si="17"/>
        <v>46055</v>
      </c>
      <c r="D245" s="59"/>
      <c r="E245" s="60"/>
      <c r="F245" s="2" t="s">
        <v>88</v>
      </c>
      <c r="G245" s="3" t="s">
        <v>53</v>
      </c>
      <c r="H245" s="61"/>
      <c r="I245" s="79"/>
      <c r="J245" s="79"/>
      <c r="K245" s="79"/>
      <c r="L245" s="79"/>
    </row>
    <row r="246" spans="1:12" x14ac:dyDescent="0.2">
      <c r="A246" s="56">
        <f t="shared" si="16"/>
        <v>156</v>
      </c>
      <c r="B246" s="57" t="str">
        <f t="shared" si="15"/>
        <v>Di</v>
      </c>
      <c r="C246" s="58">
        <f t="shared" si="17"/>
        <v>46056</v>
      </c>
      <c r="D246" s="59"/>
      <c r="E246" s="60"/>
      <c r="F246" s="2" t="s">
        <v>88</v>
      </c>
      <c r="G246" s="3" t="s">
        <v>53</v>
      </c>
      <c r="H246" s="61"/>
      <c r="I246" s="79"/>
      <c r="J246" s="79"/>
      <c r="K246" s="79"/>
      <c r="L246" s="79"/>
    </row>
    <row r="247" spans="1:12" x14ac:dyDescent="0.2">
      <c r="A247" s="56">
        <f t="shared" si="16"/>
        <v>157</v>
      </c>
      <c r="B247" s="57" t="str">
        <f t="shared" si="15"/>
        <v>Mi</v>
      </c>
      <c r="C247" s="58">
        <f t="shared" si="17"/>
        <v>46057</v>
      </c>
      <c r="D247" s="59"/>
      <c r="E247" s="60"/>
      <c r="F247" s="2" t="s">
        <v>88</v>
      </c>
      <c r="G247" s="3" t="s">
        <v>53</v>
      </c>
      <c r="H247" s="61"/>
      <c r="I247" s="79"/>
      <c r="J247" s="79"/>
      <c r="K247" s="79"/>
      <c r="L247" s="79"/>
    </row>
    <row r="248" spans="1:12" x14ac:dyDescent="0.2">
      <c r="A248" s="56">
        <f t="shared" si="16"/>
        <v>158</v>
      </c>
      <c r="B248" s="57" t="str">
        <f t="shared" si="15"/>
        <v>Do.</v>
      </c>
      <c r="C248" s="58">
        <f t="shared" si="17"/>
        <v>46058</v>
      </c>
      <c r="D248" s="59"/>
      <c r="E248" s="60"/>
      <c r="F248" s="2" t="s">
        <v>88</v>
      </c>
      <c r="G248" s="3" t="s">
        <v>53</v>
      </c>
      <c r="H248" s="61"/>
      <c r="I248" s="79"/>
      <c r="J248" s="79"/>
      <c r="K248" s="79"/>
      <c r="L248" s="79"/>
    </row>
    <row r="249" spans="1:12" x14ac:dyDescent="0.2">
      <c r="A249" s="56">
        <f t="shared" si="16"/>
        <v>159</v>
      </c>
      <c r="B249" s="57" t="str">
        <f t="shared" si="15"/>
        <v>Fr.</v>
      </c>
      <c r="C249" s="58">
        <f t="shared" si="17"/>
        <v>46059</v>
      </c>
      <c r="D249" s="59"/>
      <c r="E249" s="60"/>
      <c r="F249" s="2" t="s">
        <v>88</v>
      </c>
      <c r="G249" s="3" t="s">
        <v>53</v>
      </c>
      <c r="H249" s="61"/>
      <c r="I249" s="79"/>
      <c r="J249" s="79"/>
      <c r="K249" s="79"/>
      <c r="L249" s="79"/>
    </row>
    <row r="250" spans="1:12" x14ac:dyDescent="0.2">
      <c r="A250" s="56">
        <f t="shared" si="16"/>
        <v>160</v>
      </c>
      <c r="B250" s="57" t="str">
        <f t="shared" si="15"/>
        <v>Sa.</v>
      </c>
      <c r="C250" s="58">
        <f t="shared" si="17"/>
        <v>46060</v>
      </c>
      <c r="D250" s="59"/>
      <c r="E250" s="60"/>
      <c r="F250" s="2" t="s">
        <v>88</v>
      </c>
      <c r="G250" s="3" t="s">
        <v>53</v>
      </c>
      <c r="H250" s="61"/>
      <c r="I250" s="79"/>
      <c r="J250" s="79"/>
      <c r="K250" s="79"/>
      <c r="L250" s="79"/>
    </row>
    <row r="251" spans="1:12" x14ac:dyDescent="0.2">
      <c r="A251" s="56">
        <f t="shared" si="16"/>
        <v>161</v>
      </c>
      <c r="B251" s="57" t="str">
        <f t="shared" si="15"/>
        <v>So</v>
      </c>
      <c r="C251" s="58">
        <f t="shared" si="17"/>
        <v>46061</v>
      </c>
      <c r="D251" s="59"/>
      <c r="E251" s="60"/>
      <c r="F251" s="2" t="s">
        <v>88</v>
      </c>
      <c r="G251" s="3" t="s">
        <v>53</v>
      </c>
      <c r="H251" s="61"/>
      <c r="I251" s="79"/>
      <c r="J251" s="79"/>
      <c r="K251" s="79"/>
      <c r="L251" s="79"/>
    </row>
    <row r="252" spans="1:12" x14ac:dyDescent="0.2">
      <c r="A252" s="56">
        <f t="shared" si="16"/>
        <v>162</v>
      </c>
      <c r="B252" s="57" t="str">
        <f t="shared" si="15"/>
        <v>Mo</v>
      </c>
      <c r="C252" s="58">
        <f t="shared" si="17"/>
        <v>46062</v>
      </c>
      <c r="D252" s="59"/>
      <c r="E252" s="60"/>
      <c r="F252" s="2" t="s">
        <v>88</v>
      </c>
      <c r="G252" s="3" t="s">
        <v>53</v>
      </c>
      <c r="H252" s="61"/>
      <c r="I252" s="79"/>
      <c r="J252" s="79"/>
      <c r="K252" s="79"/>
      <c r="L252" s="79"/>
    </row>
    <row r="253" spans="1:12" x14ac:dyDescent="0.2">
      <c r="A253" s="56">
        <f t="shared" si="16"/>
        <v>163</v>
      </c>
      <c r="B253" s="57" t="str">
        <f t="shared" si="15"/>
        <v>Di</v>
      </c>
      <c r="C253" s="58">
        <f t="shared" si="17"/>
        <v>46063</v>
      </c>
      <c r="D253" s="59"/>
      <c r="E253" s="60"/>
      <c r="F253" s="2" t="s">
        <v>88</v>
      </c>
      <c r="G253" s="3" t="s">
        <v>53</v>
      </c>
      <c r="H253" s="61"/>
      <c r="I253" s="79"/>
      <c r="J253" s="79"/>
      <c r="K253" s="79"/>
      <c r="L253" s="79"/>
    </row>
    <row r="254" spans="1:12" x14ac:dyDescent="0.2">
      <c r="A254" s="56">
        <f t="shared" si="16"/>
        <v>164</v>
      </c>
      <c r="B254" s="57" t="str">
        <f t="shared" si="15"/>
        <v>Mi</v>
      </c>
      <c r="C254" s="58">
        <f t="shared" si="17"/>
        <v>46064</v>
      </c>
      <c r="D254" s="59"/>
      <c r="E254" s="62"/>
      <c r="F254" s="2" t="s">
        <v>88</v>
      </c>
      <c r="G254" s="3" t="s">
        <v>53</v>
      </c>
      <c r="H254" s="61"/>
      <c r="I254" s="79"/>
      <c r="J254" s="79"/>
      <c r="K254" s="79"/>
      <c r="L254" s="79"/>
    </row>
    <row r="255" spans="1:12" x14ac:dyDescent="0.2">
      <c r="A255" s="56">
        <f t="shared" si="16"/>
        <v>165</v>
      </c>
      <c r="B255" s="57" t="str">
        <f t="shared" si="15"/>
        <v>Do.</v>
      </c>
      <c r="C255" s="58">
        <f t="shared" si="17"/>
        <v>46065</v>
      </c>
      <c r="D255" s="59"/>
      <c r="E255" s="62"/>
      <c r="F255" s="2" t="s">
        <v>88</v>
      </c>
      <c r="G255" s="3" t="s">
        <v>53</v>
      </c>
      <c r="H255" s="61"/>
      <c r="I255" s="79"/>
      <c r="J255" s="79"/>
      <c r="K255" s="79"/>
      <c r="L255" s="79"/>
    </row>
    <row r="256" spans="1:12" x14ac:dyDescent="0.2">
      <c r="A256" s="56">
        <f t="shared" si="16"/>
        <v>166</v>
      </c>
      <c r="B256" s="57" t="str">
        <f t="shared" si="15"/>
        <v>Fr.</v>
      </c>
      <c r="C256" s="58">
        <f t="shared" si="17"/>
        <v>46066</v>
      </c>
      <c r="D256" s="59"/>
      <c r="E256" s="60"/>
      <c r="F256" s="2" t="s">
        <v>88</v>
      </c>
      <c r="G256" s="3" t="s">
        <v>53</v>
      </c>
      <c r="H256" s="61"/>
      <c r="I256" s="79"/>
      <c r="J256" s="79"/>
      <c r="K256" s="79"/>
      <c r="L256" s="79"/>
    </row>
    <row r="257" spans="1:27" x14ac:dyDescent="0.2">
      <c r="A257" s="56">
        <f t="shared" si="16"/>
        <v>167</v>
      </c>
      <c r="B257" s="57" t="str">
        <f t="shared" si="15"/>
        <v>Sa.</v>
      </c>
      <c r="C257" s="58">
        <f t="shared" si="17"/>
        <v>46067</v>
      </c>
      <c r="D257" s="59"/>
      <c r="E257" s="60"/>
      <c r="F257" s="2" t="s">
        <v>88</v>
      </c>
      <c r="G257" s="3" t="s">
        <v>53</v>
      </c>
      <c r="H257" s="61"/>
      <c r="I257" s="79"/>
      <c r="J257" s="79"/>
      <c r="K257" s="79"/>
      <c r="L257" s="79"/>
    </row>
    <row r="258" spans="1:27" ht="15" thickBot="1" x14ac:dyDescent="0.25">
      <c r="A258" s="63">
        <f>A257+1</f>
        <v>168</v>
      </c>
      <c r="B258" s="64" t="str">
        <f t="shared" si="15"/>
        <v>So</v>
      </c>
      <c r="C258" s="65">
        <f t="shared" si="17"/>
        <v>46068</v>
      </c>
      <c r="D258" s="66"/>
      <c r="E258" s="67"/>
      <c r="F258" s="11" t="s">
        <v>88</v>
      </c>
      <c r="G258" s="13" t="s">
        <v>53</v>
      </c>
      <c r="H258" s="68"/>
      <c r="I258" s="79"/>
      <c r="J258" s="79"/>
      <c r="K258" s="79"/>
      <c r="L258" s="79"/>
      <c r="N258" s="47"/>
      <c r="O258" s="48" t="s">
        <v>109</v>
      </c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spans="1:27" x14ac:dyDescent="0.2">
      <c r="A259" s="69"/>
      <c r="B259" s="69"/>
      <c r="C259" s="69"/>
      <c r="D259" s="69"/>
      <c r="E259" s="69"/>
      <c r="F259" s="24"/>
      <c r="G259" s="24"/>
      <c r="H259" s="69"/>
      <c r="I259" s="69"/>
      <c r="J259" s="69"/>
      <c r="K259" s="69"/>
      <c r="L259" s="69"/>
      <c r="N259" s="46"/>
      <c r="O259" s="1" t="s">
        <v>104</v>
      </c>
    </row>
    <row r="260" spans="1:27" x14ac:dyDescent="0.2">
      <c r="A260" s="98" t="str">
        <f>Student_Name</f>
        <v>Dirnberger</v>
      </c>
      <c r="B260" s="98"/>
      <c r="C260" s="98"/>
      <c r="D260" s="98"/>
      <c r="E260" s="98"/>
      <c r="F260" s="99"/>
      <c r="G260" s="26"/>
      <c r="H260" s="77" t="str">
        <f>Ausbildungsbetrieb_Unternehmen</f>
        <v>Continental Automotiv Technologies GmbH</v>
      </c>
      <c r="I260" s="71"/>
      <c r="J260" s="71"/>
      <c r="K260" s="71"/>
      <c r="L260" s="71"/>
    </row>
    <row r="261" spans="1:27" x14ac:dyDescent="0.2">
      <c r="A261" s="70" t="s">
        <v>31</v>
      </c>
      <c r="B261" s="70"/>
      <c r="C261" s="70"/>
      <c r="D261" s="70"/>
      <c r="E261" s="70"/>
      <c r="F261" s="28"/>
      <c r="G261" s="28"/>
      <c r="H261" s="70" t="s">
        <v>32</v>
      </c>
      <c r="I261" s="70"/>
      <c r="J261" s="70"/>
      <c r="K261" s="70"/>
      <c r="L261" s="70"/>
    </row>
    <row r="262" spans="1:27" x14ac:dyDescent="0.2">
      <c r="A262" s="71"/>
      <c r="B262" s="71"/>
      <c r="C262" s="71"/>
      <c r="D262" s="71"/>
      <c r="E262" s="71"/>
      <c r="F262" s="26"/>
      <c r="G262" s="26"/>
      <c r="H262" s="71"/>
      <c r="I262" s="71"/>
      <c r="J262" s="71"/>
      <c r="K262" s="71"/>
      <c r="L262" s="71"/>
    </row>
    <row r="263" spans="1:27" x14ac:dyDescent="0.2">
      <c r="A263" s="98" t="str">
        <f>Student_Vorname</f>
        <v>Hubert</v>
      </c>
      <c r="B263" s="98"/>
      <c r="C263" s="98"/>
      <c r="D263" s="98"/>
      <c r="E263" s="98"/>
      <c r="F263" s="99"/>
      <c r="G263" s="26"/>
      <c r="H263" s="77" t="str">
        <f>CONCATENATE(Ausbildungsbetrieb_Vorname, " ", Ausbildungsbetrieb_Name)</f>
        <v>Christian Ruppel</v>
      </c>
      <c r="I263" s="71"/>
      <c r="J263" s="71"/>
      <c r="K263" s="71"/>
      <c r="L263" s="71"/>
    </row>
    <row r="264" spans="1:27" x14ac:dyDescent="0.2">
      <c r="A264" s="70" t="s">
        <v>34</v>
      </c>
      <c r="B264" s="70"/>
      <c r="C264" s="70"/>
      <c r="D264" s="70"/>
      <c r="E264" s="70"/>
      <c r="F264" s="28"/>
      <c r="G264" s="28"/>
      <c r="H264" s="70" t="s">
        <v>78</v>
      </c>
      <c r="I264" s="70"/>
      <c r="J264" s="70"/>
      <c r="K264" s="70"/>
      <c r="L264" s="70"/>
    </row>
    <row r="265" spans="1:27" x14ac:dyDescent="0.2">
      <c r="A265" s="71"/>
      <c r="B265" s="71"/>
      <c r="C265" s="71"/>
      <c r="D265" s="71"/>
      <c r="E265" s="71"/>
      <c r="F265" s="26"/>
      <c r="G265" s="26"/>
      <c r="H265" s="71"/>
      <c r="I265" s="71"/>
      <c r="J265" s="71"/>
      <c r="K265" s="71"/>
      <c r="L265" s="71"/>
    </row>
    <row r="266" spans="1:27" x14ac:dyDescent="0.2">
      <c r="A266" s="98" t="str">
        <f>Student_Studiengruppe</f>
        <v>MB8</v>
      </c>
      <c r="B266" s="98"/>
      <c r="C266" s="98"/>
      <c r="D266" s="98"/>
      <c r="E266" s="98"/>
      <c r="F266" s="99"/>
      <c r="G266" s="26"/>
      <c r="H266" s="77" t="str">
        <f>Ausbildungsbetrieb_Email</f>
        <v>christian.ruppel@continental-corporaion.com</v>
      </c>
      <c r="I266" s="71"/>
      <c r="J266" s="71"/>
      <c r="K266" s="71"/>
      <c r="L266" s="71"/>
    </row>
    <row r="267" spans="1:27" x14ac:dyDescent="0.2">
      <c r="A267" s="70" t="s">
        <v>38</v>
      </c>
      <c r="B267" s="70"/>
      <c r="C267" s="70"/>
      <c r="D267" s="70"/>
      <c r="E267" s="70"/>
      <c r="F267" s="28"/>
      <c r="G267" s="28"/>
      <c r="H267" s="70" t="s">
        <v>79</v>
      </c>
      <c r="I267" s="70"/>
      <c r="J267" s="70"/>
      <c r="K267" s="70"/>
      <c r="L267" s="70"/>
    </row>
    <row r="268" spans="1:27" x14ac:dyDescent="0.2">
      <c r="A268" s="71"/>
      <c r="B268" s="71"/>
      <c r="C268" s="71"/>
      <c r="D268" s="71"/>
      <c r="E268" s="71"/>
      <c r="F268" s="26"/>
      <c r="G268" s="26"/>
      <c r="H268" s="71"/>
      <c r="I268" s="71"/>
      <c r="J268" s="71"/>
      <c r="K268" s="71"/>
      <c r="L268" s="71"/>
    </row>
    <row r="269" spans="1:27" x14ac:dyDescent="0.2">
      <c r="A269" s="98">
        <f>Student_Matrikelnummer</f>
        <v>3315035</v>
      </c>
      <c r="B269" s="98"/>
      <c r="C269" s="98"/>
      <c r="D269" s="98"/>
      <c r="E269" s="98"/>
      <c r="F269" s="99"/>
      <c r="G269" s="26"/>
      <c r="H269" s="77" t="str">
        <f>Ausbildungsbetrieb_Telefon</f>
        <v>0499417903612</v>
      </c>
      <c r="I269" s="71"/>
      <c r="J269" s="71"/>
      <c r="K269" s="71"/>
      <c r="L269" s="71"/>
    </row>
    <row r="270" spans="1:27" x14ac:dyDescent="0.2">
      <c r="A270" s="70" t="s">
        <v>41</v>
      </c>
      <c r="B270" s="70"/>
      <c r="C270" s="70"/>
      <c r="D270" s="70"/>
      <c r="E270" s="70"/>
      <c r="F270" s="28"/>
      <c r="G270" s="28"/>
      <c r="H270" s="70" t="s">
        <v>80</v>
      </c>
      <c r="I270" s="70"/>
      <c r="J270" s="70"/>
      <c r="K270" s="70"/>
      <c r="L270" s="70"/>
    </row>
    <row r="271" spans="1:27" ht="15" thickBot="1" x14ac:dyDescent="0.25">
      <c r="A271" s="71"/>
      <c r="B271" s="71"/>
      <c r="C271" s="71"/>
      <c r="D271" s="71"/>
      <c r="E271" s="71"/>
      <c r="F271" s="26"/>
      <c r="G271" s="26"/>
      <c r="H271" s="71"/>
      <c r="I271" s="71"/>
      <c r="J271" s="71"/>
      <c r="K271" s="71"/>
      <c r="L271" s="71"/>
    </row>
    <row r="272" spans="1:27" x14ac:dyDescent="0.2">
      <c r="A272" s="72"/>
      <c r="B272" s="73"/>
      <c r="C272" s="73"/>
      <c r="D272" s="73"/>
      <c r="E272" s="73" t="s">
        <v>81</v>
      </c>
      <c r="F272" s="15"/>
      <c r="G272" s="15"/>
      <c r="H272" s="74" t="s">
        <v>82</v>
      </c>
      <c r="I272" s="69"/>
      <c r="J272" s="69"/>
      <c r="K272" s="69"/>
      <c r="L272" s="69"/>
    </row>
    <row r="273" spans="1:12" ht="15" thickBot="1" x14ac:dyDescent="0.25">
      <c r="A273" s="100" t="s">
        <v>83</v>
      </c>
      <c r="B273" s="101"/>
      <c r="C273" s="75" t="s">
        <v>84</v>
      </c>
      <c r="D273" s="75"/>
      <c r="E273" s="102" t="s">
        <v>85</v>
      </c>
      <c r="F273" s="103"/>
      <c r="G273" s="18"/>
      <c r="H273" s="76" t="s">
        <v>86</v>
      </c>
      <c r="I273" s="69"/>
      <c r="J273" s="69"/>
      <c r="K273" s="69"/>
      <c r="L273" s="69"/>
    </row>
    <row r="274" spans="1:12" x14ac:dyDescent="0.2">
      <c r="A274" s="50">
        <f>A258</f>
        <v>168</v>
      </c>
      <c r="B274" s="51" t="str">
        <f>IF(WEEKDAY(C274,2)=1,"Mo",IF(WEEKDAY(C274,2)=2,"Di",IF(WEEKDAY(C274,2)=3,"Mi",IF(WEEKDAY(C274,2)=4,"Do.",IF(WEEKDAY(C274,2)=5,"Fr.",IF(WEEKDAY(C274,2)=6,"Sa.","So"))))))</f>
        <v>Mo</v>
      </c>
      <c r="C274" s="52">
        <f>C258+1</f>
        <v>46069</v>
      </c>
      <c r="D274" s="53"/>
      <c r="E274" s="54"/>
      <c r="F274" s="6" t="s">
        <v>88</v>
      </c>
      <c r="G274" s="8" t="s">
        <v>53</v>
      </c>
      <c r="H274" s="55"/>
      <c r="I274" s="79"/>
      <c r="J274" s="79"/>
      <c r="K274" s="79"/>
      <c r="L274" s="79"/>
    </row>
    <row r="275" spans="1:12" x14ac:dyDescent="0.2">
      <c r="A275" s="56">
        <f>A274+1</f>
        <v>169</v>
      </c>
      <c r="B275" s="57" t="str">
        <f t="shared" ref="B275:B301" si="18">IF(WEEKDAY(C275,2)=1,"Mo",IF(WEEKDAY(C275,2)=2,"Di",IF(WEEKDAY(C275,2)=3,"Mi",IF(WEEKDAY(C275,2)=4,"Do.",IF(WEEKDAY(C275,2)=5,"Fr.",IF(WEEKDAY(C275,2)=6,"Sa.","So"))))))</f>
        <v>Di</v>
      </c>
      <c r="C275" s="58">
        <f>C274+1</f>
        <v>46070</v>
      </c>
      <c r="D275" s="59"/>
      <c r="E275" s="60"/>
      <c r="F275" s="2" t="s">
        <v>88</v>
      </c>
      <c r="G275" s="3" t="s">
        <v>53</v>
      </c>
      <c r="H275" s="61"/>
      <c r="I275" s="79"/>
      <c r="J275" s="79"/>
      <c r="K275" s="79"/>
      <c r="L275" s="79"/>
    </row>
    <row r="276" spans="1:12" x14ac:dyDescent="0.2">
      <c r="A276" s="56">
        <f t="shared" ref="A276:A300" si="19">A275+1</f>
        <v>170</v>
      </c>
      <c r="B276" s="57" t="str">
        <f t="shared" si="18"/>
        <v>Mi</v>
      </c>
      <c r="C276" s="58">
        <f t="shared" ref="C276:C301" si="20">C275+1</f>
        <v>46071</v>
      </c>
      <c r="D276" s="59"/>
      <c r="E276" s="60"/>
      <c r="F276" s="2" t="s">
        <v>88</v>
      </c>
      <c r="G276" s="3" t="s">
        <v>53</v>
      </c>
      <c r="H276" s="61"/>
      <c r="I276" s="79"/>
      <c r="J276" s="79"/>
      <c r="K276" s="79"/>
      <c r="L276" s="79"/>
    </row>
    <row r="277" spans="1:12" x14ac:dyDescent="0.2">
      <c r="A277" s="56">
        <f t="shared" si="19"/>
        <v>171</v>
      </c>
      <c r="B277" s="57" t="str">
        <f t="shared" si="18"/>
        <v>Do.</v>
      </c>
      <c r="C277" s="58">
        <f t="shared" si="20"/>
        <v>46072</v>
      </c>
      <c r="D277" s="59"/>
      <c r="E277" s="60"/>
      <c r="F277" s="2" t="s">
        <v>88</v>
      </c>
      <c r="G277" s="3" t="s">
        <v>53</v>
      </c>
      <c r="H277" s="61"/>
      <c r="I277" s="79"/>
      <c r="J277" s="79"/>
      <c r="K277" s="79"/>
      <c r="L277" s="79"/>
    </row>
    <row r="278" spans="1:12" x14ac:dyDescent="0.2">
      <c r="A278" s="56">
        <f t="shared" si="19"/>
        <v>172</v>
      </c>
      <c r="B278" s="57" t="str">
        <f t="shared" si="18"/>
        <v>Fr.</v>
      </c>
      <c r="C278" s="58">
        <f t="shared" si="20"/>
        <v>46073</v>
      </c>
      <c r="D278" s="59"/>
      <c r="E278" s="60"/>
      <c r="F278" s="2" t="s">
        <v>88</v>
      </c>
      <c r="G278" s="3" t="s">
        <v>53</v>
      </c>
      <c r="H278" s="61"/>
      <c r="I278" s="79"/>
      <c r="J278" s="79"/>
      <c r="K278" s="79"/>
      <c r="L278" s="79"/>
    </row>
    <row r="279" spans="1:12" x14ac:dyDescent="0.2">
      <c r="A279" s="56">
        <f t="shared" si="19"/>
        <v>173</v>
      </c>
      <c r="B279" s="57" t="str">
        <f t="shared" si="18"/>
        <v>Sa.</v>
      </c>
      <c r="C279" s="58">
        <f t="shared" si="20"/>
        <v>46074</v>
      </c>
      <c r="D279" s="59"/>
      <c r="E279" s="60"/>
      <c r="F279" s="2" t="s">
        <v>88</v>
      </c>
      <c r="G279" s="3" t="s">
        <v>53</v>
      </c>
      <c r="H279" s="61"/>
      <c r="I279" s="79"/>
      <c r="J279" s="79"/>
      <c r="K279" s="79"/>
      <c r="L279" s="79"/>
    </row>
    <row r="280" spans="1:12" x14ac:dyDescent="0.2">
      <c r="A280" s="56">
        <f t="shared" si="19"/>
        <v>174</v>
      </c>
      <c r="B280" s="57" t="str">
        <f t="shared" si="18"/>
        <v>So</v>
      </c>
      <c r="C280" s="58">
        <f t="shared" si="20"/>
        <v>46075</v>
      </c>
      <c r="D280" s="59"/>
      <c r="E280" s="60"/>
      <c r="F280" s="2" t="s">
        <v>88</v>
      </c>
      <c r="G280" s="3" t="s">
        <v>53</v>
      </c>
      <c r="H280" s="61"/>
      <c r="I280" s="79"/>
      <c r="J280" s="79"/>
      <c r="K280" s="79"/>
      <c r="L280" s="79"/>
    </row>
    <row r="281" spans="1:12" x14ac:dyDescent="0.2">
      <c r="A281" s="56">
        <f t="shared" si="19"/>
        <v>175</v>
      </c>
      <c r="B281" s="57" t="str">
        <f t="shared" si="18"/>
        <v>Mo</v>
      </c>
      <c r="C281" s="58">
        <f t="shared" si="20"/>
        <v>46076</v>
      </c>
      <c r="D281" s="59"/>
      <c r="E281" s="60"/>
      <c r="F281" s="2" t="s">
        <v>88</v>
      </c>
      <c r="G281" s="3" t="s">
        <v>53</v>
      </c>
      <c r="H281" s="61"/>
      <c r="I281" s="79"/>
      <c r="J281" s="79"/>
      <c r="K281" s="79"/>
      <c r="L281" s="79"/>
    </row>
    <row r="282" spans="1:12" x14ac:dyDescent="0.2">
      <c r="A282" s="56">
        <f t="shared" si="19"/>
        <v>176</v>
      </c>
      <c r="B282" s="57" t="str">
        <f t="shared" si="18"/>
        <v>Di</v>
      </c>
      <c r="C282" s="58">
        <f t="shared" si="20"/>
        <v>46077</v>
      </c>
      <c r="D282" s="59"/>
      <c r="E282" s="60"/>
      <c r="F282" s="2" t="s">
        <v>88</v>
      </c>
      <c r="G282" s="3" t="s">
        <v>53</v>
      </c>
      <c r="H282" s="61"/>
      <c r="I282" s="79"/>
      <c r="J282" s="79"/>
      <c r="K282" s="79"/>
      <c r="L282" s="79"/>
    </row>
    <row r="283" spans="1:12" x14ac:dyDescent="0.2">
      <c r="A283" s="56">
        <f t="shared" si="19"/>
        <v>177</v>
      </c>
      <c r="B283" s="57" t="str">
        <f t="shared" si="18"/>
        <v>Mi</v>
      </c>
      <c r="C283" s="58">
        <f t="shared" si="20"/>
        <v>46078</v>
      </c>
      <c r="D283" s="59"/>
      <c r="E283" s="60"/>
      <c r="F283" s="2" t="s">
        <v>88</v>
      </c>
      <c r="G283" s="3" t="s">
        <v>53</v>
      </c>
      <c r="H283" s="61"/>
      <c r="I283" s="79"/>
      <c r="J283" s="79"/>
      <c r="K283" s="79"/>
      <c r="L283" s="79"/>
    </row>
    <row r="284" spans="1:12" x14ac:dyDescent="0.2">
      <c r="A284" s="56">
        <f t="shared" si="19"/>
        <v>178</v>
      </c>
      <c r="B284" s="57" t="str">
        <f t="shared" si="18"/>
        <v>Do.</v>
      </c>
      <c r="C284" s="58">
        <f t="shared" si="20"/>
        <v>46079</v>
      </c>
      <c r="D284" s="59"/>
      <c r="E284" s="60"/>
      <c r="F284" s="2" t="s">
        <v>88</v>
      </c>
      <c r="G284" s="3" t="s">
        <v>53</v>
      </c>
      <c r="H284" s="61"/>
      <c r="I284" s="79"/>
      <c r="J284" s="79"/>
      <c r="K284" s="79"/>
      <c r="L284" s="79"/>
    </row>
    <row r="285" spans="1:12" x14ac:dyDescent="0.2">
      <c r="A285" s="56">
        <f t="shared" si="19"/>
        <v>179</v>
      </c>
      <c r="B285" s="57" t="str">
        <f t="shared" si="18"/>
        <v>Fr.</v>
      </c>
      <c r="C285" s="58">
        <f t="shared" si="20"/>
        <v>46080</v>
      </c>
      <c r="D285" s="59"/>
      <c r="E285" s="60"/>
      <c r="F285" s="2" t="s">
        <v>88</v>
      </c>
      <c r="G285" s="3" t="s">
        <v>53</v>
      </c>
      <c r="H285" s="61"/>
      <c r="I285" s="79"/>
      <c r="J285" s="79"/>
      <c r="K285" s="79"/>
      <c r="L285" s="79"/>
    </row>
    <row r="286" spans="1:12" x14ac:dyDescent="0.2">
      <c r="A286" s="56">
        <f t="shared" si="19"/>
        <v>180</v>
      </c>
      <c r="B286" s="57" t="str">
        <f t="shared" si="18"/>
        <v>Sa.</v>
      </c>
      <c r="C286" s="58">
        <f t="shared" si="20"/>
        <v>46081</v>
      </c>
      <c r="D286" s="59"/>
      <c r="E286" s="60"/>
      <c r="F286" s="2" t="s">
        <v>88</v>
      </c>
      <c r="G286" s="3" t="s">
        <v>53</v>
      </c>
      <c r="H286" s="61"/>
      <c r="I286" s="79"/>
      <c r="J286" s="79"/>
      <c r="K286" s="79"/>
      <c r="L286" s="79"/>
    </row>
    <row r="287" spans="1:12" x14ac:dyDescent="0.2">
      <c r="A287" s="56">
        <f t="shared" si="19"/>
        <v>181</v>
      </c>
      <c r="B287" s="57" t="str">
        <f t="shared" si="18"/>
        <v>So</v>
      </c>
      <c r="C287" s="58">
        <f t="shared" si="20"/>
        <v>46082</v>
      </c>
      <c r="D287" s="59"/>
      <c r="E287" s="60"/>
      <c r="F287" s="2" t="s">
        <v>88</v>
      </c>
      <c r="G287" s="3" t="s">
        <v>53</v>
      </c>
      <c r="H287" s="61"/>
      <c r="I287" s="79"/>
      <c r="J287" s="79"/>
      <c r="K287" s="79"/>
      <c r="L287" s="79"/>
    </row>
    <row r="288" spans="1:12" x14ac:dyDescent="0.2">
      <c r="A288" s="56">
        <f t="shared" si="19"/>
        <v>182</v>
      </c>
      <c r="B288" s="57" t="str">
        <f t="shared" si="18"/>
        <v>Mo</v>
      </c>
      <c r="C288" s="58">
        <f t="shared" si="20"/>
        <v>46083</v>
      </c>
      <c r="D288" s="59"/>
      <c r="E288" s="60"/>
      <c r="F288" s="2" t="s">
        <v>88</v>
      </c>
      <c r="G288" s="3" t="s">
        <v>53</v>
      </c>
      <c r="H288" s="61"/>
      <c r="I288" s="79"/>
      <c r="J288" s="79"/>
      <c r="K288" s="79"/>
      <c r="L288" s="79"/>
    </row>
    <row r="289" spans="1:27" x14ac:dyDescent="0.2">
      <c r="A289" s="56">
        <f t="shared" si="19"/>
        <v>183</v>
      </c>
      <c r="B289" s="57" t="str">
        <f t="shared" si="18"/>
        <v>Di</v>
      </c>
      <c r="C289" s="58">
        <f t="shared" si="20"/>
        <v>46084</v>
      </c>
      <c r="D289" s="59"/>
      <c r="E289" s="60"/>
      <c r="F289" s="2" t="s">
        <v>88</v>
      </c>
      <c r="G289" s="3" t="s">
        <v>53</v>
      </c>
      <c r="H289" s="61"/>
      <c r="I289" s="79"/>
      <c r="J289" s="79"/>
      <c r="K289" s="79"/>
      <c r="L289" s="79"/>
    </row>
    <row r="290" spans="1:27" x14ac:dyDescent="0.2">
      <c r="A290" s="56">
        <f t="shared" si="19"/>
        <v>184</v>
      </c>
      <c r="B290" s="57" t="str">
        <f t="shared" si="18"/>
        <v>Mi</v>
      </c>
      <c r="C290" s="58">
        <f t="shared" si="20"/>
        <v>46085</v>
      </c>
      <c r="D290" s="59"/>
      <c r="E290" s="60"/>
      <c r="F290" s="2" t="s">
        <v>88</v>
      </c>
      <c r="G290" s="3" t="s">
        <v>53</v>
      </c>
      <c r="H290" s="61"/>
      <c r="I290" s="79"/>
      <c r="J290" s="79"/>
      <c r="K290" s="79"/>
      <c r="L290" s="79"/>
    </row>
    <row r="291" spans="1:27" x14ac:dyDescent="0.2">
      <c r="A291" s="56">
        <f t="shared" si="19"/>
        <v>185</v>
      </c>
      <c r="B291" s="57" t="str">
        <f t="shared" si="18"/>
        <v>Do.</v>
      </c>
      <c r="C291" s="58">
        <f t="shared" si="20"/>
        <v>46086</v>
      </c>
      <c r="D291" s="59"/>
      <c r="E291" s="60"/>
      <c r="F291" s="2" t="s">
        <v>88</v>
      </c>
      <c r="G291" s="3" t="s">
        <v>53</v>
      </c>
      <c r="H291" s="61"/>
      <c r="I291" s="79"/>
      <c r="J291" s="79"/>
      <c r="K291" s="79"/>
      <c r="L291" s="79"/>
    </row>
    <row r="292" spans="1:27" x14ac:dyDescent="0.2">
      <c r="A292" s="56">
        <f t="shared" si="19"/>
        <v>186</v>
      </c>
      <c r="B292" s="57" t="str">
        <f t="shared" si="18"/>
        <v>Fr.</v>
      </c>
      <c r="C292" s="58">
        <f t="shared" si="20"/>
        <v>46087</v>
      </c>
      <c r="D292" s="59"/>
      <c r="E292" s="60"/>
      <c r="F292" s="2" t="s">
        <v>88</v>
      </c>
      <c r="G292" s="3" t="s">
        <v>53</v>
      </c>
      <c r="H292" s="61"/>
      <c r="I292" s="79"/>
      <c r="J292" s="79"/>
      <c r="K292" s="79"/>
      <c r="L292" s="79"/>
    </row>
    <row r="293" spans="1:27" x14ac:dyDescent="0.2">
      <c r="A293" s="56">
        <f t="shared" si="19"/>
        <v>187</v>
      </c>
      <c r="B293" s="57" t="str">
        <f t="shared" si="18"/>
        <v>Sa.</v>
      </c>
      <c r="C293" s="58">
        <f t="shared" si="20"/>
        <v>46088</v>
      </c>
      <c r="D293" s="59"/>
      <c r="E293" s="60"/>
      <c r="F293" s="2" t="s">
        <v>88</v>
      </c>
      <c r="G293" s="3" t="s">
        <v>53</v>
      </c>
      <c r="H293" s="61"/>
      <c r="I293" s="79"/>
      <c r="J293" s="79"/>
      <c r="K293" s="79"/>
      <c r="L293" s="79"/>
    </row>
    <row r="294" spans="1:27" x14ac:dyDescent="0.2">
      <c r="A294" s="56">
        <f t="shared" si="19"/>
        <v>188</v>
      </c>
      <c r="B294" s="57" t="str">
        <f t="shared" si="18"/>
        <v>So</v>
      </c>
      <c r="C294" s="58">
        <f t="shared" si="20"/>
        <v>46089</v>
      </c>
      <c r="D294" s="59"/>
      <c r="E294" s="60"/>
      <c r="F294" s="2" t="s">
        <v>88</v>
      </c>
      <c r="G294" s="3" t="s">
        <v>53</v>
      </c>
      <c r="H294" s="61"/>
      <c r="I294" s="79"/>
      <c r="J294" s="79"/>
      <c r="K294" s="79"/>
      <c r="L294" s="79"/>
    </row>
    <row r="295" spans="1:27" x14ac:dyDescent="0.2">
      <c r="A295" s="56">
        <f t="shared" si="19"/>
        <v>189</v>
      </c>
      <c r="B295" s="57" t="str">
        <f t="shared" si="18"/>
        <v>Mo</v>
      </c>
      <c r="C295" s="58">
        <f t="shared" si="20"/>
        <v>46090</v>
      </c>
      <c r="D295" s="59"/>
      <c r="E295" s="60"/>
      <c r="F295" s="2" t="s">
        <v>88</v>
      </c>
      <c r="G295" s="3" t="s">
        <v>53</v>
      </c>
      <c r="H295" s="61"/>
      <c r="I295" s="79"/>
      <c r="J295" s="79"/>
      <c r="K295" s="79"/>
      <c r="L295" s="79"/>
    </row>
    <row r="296" spans="1:27" x14ac:dyDescent="0.2">
      <c r="A296" s="56">
        <f t="shared" si="19"/>
        <v>190</v>
      </c>
      <c r="B296" s="57" t="str">
        <f t="shared" si="18"/>
        <v>Di</v>
      </c>
      <c r="C296" s="58">
        <f t="shared" si="20"/>
        <v>46091</v>
      </c>
      <c r="D296" s="59"/>
      <c r="E296" s="60"/>
      <c r="F296" s="2" t="s">
        <v>88</v>
      </c>
      <c r="G296" s="3" t="s">
        <v>53</v>
      </c>
      <c r="H296" s="61"/>
      <c r="I296" s="79"/>
      <c r="J296" s="79"/>
      <c r="K296" s="79"/>
      <c r="L296" s="79"/>
    </row>
    <row r="297" spans="1:27" x14ac:dyDescent="0.2">
      <c r="A297" s="56">
        <f t="shared" si="19"/>
        <v>191</v>
      </c>
      <c r="B297" s="57" t="str">
        <f t="shared" si="18"/>
        <v>Mi</v>
      </c>
      <c r="C297" s="58">
        <f t="shared" si="20"/>
        <v>46092</v>
      </c>
      <c r="D297" s="59"/>
      <c r="E297" s="62"/>
      <c r="F297" s="2" t="s">
        <v>88</v>
      </c>
      <c r="G297" s="3" t="s">
        <v>53</v>
      </c>
      <c r="H297" s="61"/>
      <c r="I297" s="79"/>
      <c r="J297" s="79"/>
      <c r="K297" s="79"/>
      <c r="L297" s="79"/>
    </row>
    <row r="298" spans="1:27" x14ac:dyDescent="0.2">
      <c r="A298" s="56">
        <f t="shared" si="19"/>
        <v>192</v>
      </c>
      <c r="B298" s="57" t="str">
        <f t="shared" si="18"/>
        <v>Do.</v>
      </c>
      <c r="C298" s="58">
        <f t="shared" si="20"/>
        <v>46093</v>
      </c>
      <c r="D298" s="59"/>
      <c r="E298" s="62"/>
      <c r="F298" s="2" t="s">
        <v>88</v>
      </c>
      <c r="G298" s="3" t="s">
        <v>53</v>
      </c>
      <c r="H298" s="61"/>
      <c r="I298" s="79"/>
      <c r="J298" s="79"/>
      <c r="K298" s="79"/>
      <c r="L298" s="79"/>
    </row>
    <row r="299" spans="1:27" x14ac:dyDescent="0.2">
      <c r="A299" s="56">
        <f t="shared" si="19"/>
        <v>193</v>
      </c>
      <c r="B299" s="57" t="str">
        <f t="shared" si="18"/>
        <v>Fr.</v>
      </c>
      <c r="C299" s="58">
        <f t="shared" si="20"/>
        <v>46094</v>
      </c>
      <c r="D299" s="59"/>
      <c r="E299" s="60"/>
      <c r="F299" s="2" t="s">
        <v>88</v>
      </c>
      <c r="G299" s="3" t="s">
        <v>53</v>
      </c>
      <c r="H299" s="61"/>
      <c r="I299" s="79"/>
      <c r="J299" s="79"/>
      <c r="K299" s="79"/>
      <c r="L299" s="79"/>
    </row>
    <row r="300" spans="1:27" x14ac:dyDescent="0.2">
      <c r="A300" s="56">
        <f t="shared" si="19"/>
        <v>194</v>
      </c>
      <c r="B300" s="57" t="str">
        <f t="shared" si="18"/>
        <v>Sa.</v>
      </c>
      <c r="C300" s="58">
        <f t="shared" si="20"/>
        <v>46095</v>
      </c>
      <c r="D300" s="59"/>
      <c r="E300" s="60"/>
      <c r="F300" s="2" t="s">
        <v>88</v>
      </c>
      <c r="G300" s="3" t="s">
        <v>53</v>
      </c>
      <c r="H300" s="61"/>
      <c r="I300" s="79"/>
      <c r="J300" s="79"/>
      <c r="K300" s="79"/>
      <c r="L300" s="79"/>
    </row>
    <row r="301" spans="1:27" ht="15" thickBot="1" x14ac:dyDescent="0.25">
      <c r="A301" s="63">
        <f>A300+1</f>
        <v>195</v>
      </c>
      <c r="B301" s="64" t="str">
        <f t="shared" si="18"/>
        <v>So</v>
      </c>
      <c r="C301" s="65">
        <f t="shared" si="20"/>
        <v>46096</v>
      </c>
      <c r="D301" s="66"/>
      <c r="E301" s="67"/>
      <c r="F301" s="11" t="s">
        <v>88</v>
      </c>
      <c r="G301" s="13" t="s">
        <v>53</v>
      </c>
      <c r="H301" s="68"/>
      <c r="I301" s="79"/>
      <c r="J301" s="79"/>
      <c r="K301" s="79"/>
      <c r="L301" s="79"/>
      <c r="N301" s="47"/>
      <c r="O301" s="48" t="s">
        <v>109</v>
      </c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spans="1:27" x14ac:dyDescent="0.2">
      <c r="A302" s="69"/>
      <c r="B302" s="69"/>
      <c r="C302" s="69"/>
      <c r="D302" s="69"/>
      <c r="E302" s="69"/>
      <c r="F302" s="24"/>
      <c r="G302" s="24"/>
      <c r="H302" s="69"/>
      <c r="I302" s="69"/>
      <c r="J302" s="69"/>
      <c r="K302" s="69"/>
      <c r="L302" s="69"/>
      <c r="N302" s="46"/>
      <c r="O302" s="1" t="s">
        <v>104</v>
      </c>
    </row>
    <row r="303" spans="1:27" x14ac:dyDescent="0.2">
      <c r="A303" s="98" t="str">
        <f>Student_Name</f>
        <v>Dirnberger</v>
      </c>
      <c r="B303" s="98"/>
      <c r="C303" s="98"/>
      <c r="D303" s="98"/>
      <c r="E303" s="98"/>
      <c r="F303" s="99"/>
      <c r="G303" s="26"/>
      <c r="H303" s="77" t="str">
        <f>Ausbildungsbetrieb_Unternehmen</f>
        <v>Continental Automotiv Technologies GmbH</v>
      </c>
      <c r="I303" s="71"/>
      <c r="J303" s="71"/>
      <c r="K303" s="71"/>
      <c r="L303" s="71"/>
    </row>
    <row r="304" spans="1:27" x14ac:dyDescent="0.2">
      <c r="A304" s="70" t="s">
        <v>31</v>
      </c>
      <c r="B304" s="70"/>
      <c r="C304" s="70"/>
      <c r="D304" s="70"/>
      <c r="E304" s="70"/>
      <c r="F304" s="28"/>
      <c r="G304" s="28"/>
      <c r="H304" s="70" t="s">
        <v>32</v>
      </c>
      <c r="I304" s="70"/>
      <c r="J304" s="70"/>
      <c r="K304" s="70"/>
      <c r="L304" s="70"/>
    </row>
    <row r="305" spans="1:12" x14ac:dyDescent="0.2">
      <c r="A305" s="71"/>
      <c r="B305" s="71"/>
      <c r="C305" s="71"/>
      <c r="D305" s="71"/>
      <c r="E305" s="71"/>
      <c r="F305" s="26"/>
      <c r="G305" s="26"/>
      <c r="H305" s="71"/>
      <c r="I305" s="71"/>
      <c r="J305" s="71"/>
      <c r="K305" s="71"/>
      <c r="L305" s="71"/>
    </row>
    <row r="306" spans="1:12" x14ac:dyDescent="0.2">
      <c r="A306" s="98" t="str">
        <f>Student_Vorname</f>
        <v>Hubert</v>
      </c>
      <c r="B306" s="98"/>
      <c r="C306" s="98"/>
      <c r="D306" s="98"/>
      <c r="E306" s="98"/>
      <c r="F306" s="99"/>
      <c r="G306" s="26"/>
      <c r="H306" s="77" t="str">
        <f>CONCATENATE(Ausbildungsbetrieb_Vorname, " ", Ausbildungsbetrieb_Name)</f>
        <v>Christian Ruppel</v>
      </c>
      <c r="I306" s="71"/>
      <c r="J306" s="71"/>
      <c r="K306" s="71"/>
      <c r="L306" s="71"/>
    </row>
    <row r="307" spans="1:12" x14ac:dyDescent="0.2">
      <c r="A307" s="70" t="s">
        <v>34</v>
      </c>
      <c r="B307" s="70"/>
      <c r="C307" s="70"/>
      <c r="D307" s="70"/>
      <c r="E307" s="70"/>
      <c r="F307" s="28"/>
      <c r="G307" s="28"/>
      <c r="H307" s="70" t="s">
        <v>78</v>
      </c>
      <c r="I307" s="70"/>
      <c r="J307" s="70"/>
      <c r="K307" s="70"/>
      <c r="L307" s="70"/>
    </row>
    <row r="308" spans="1:12" x14ac:dyDescent="0.2">
      <c r="A308" s="71"/>
      <c r="B308" s="71"/>
      <c r="C308" s="71"/>
      <c r="D308" s="71"/>
      <c r="E308" s="71"/>
      <c r="F308" s="26"/>
      <c r="G308" s="26"/>
      <c r="H308" s="71"/>
      <c r="I308" s="71"/>
      <c r="J308" s="71"/>
      <c r="K308" s="71"/>
      <c r="L308" s="71"/>
    </row>
    <row r="309" spans="1:12" x14ac:dyDescent="0.2">
      <c r="A309" s="98" t="str">
        <f>Student_Studiengruppe</f>
        <v>MB8</v>
      </c>
      <c r="B309" s="98"/>
      <c r="C309" s="98"/>
      <c r="D309" s="98"/>
      <c r="E309" s="98"/>
      <c r="F309" s="99"/>
      <c r="G309" s="26"/>
      <c r="H309" s="77" t="str">
        <f>Ausbildungsbetrieb_Email</f>
        <v>christian.ruppel@continental-corporaion.com</v>
      </c>
      <c r="I309" s="71"/>
      <c r="J309" s="71"/>
      <c r="K309" s="71"/>
      <c r="L309" s="71"/>
    </row>
    <row r="310" spans="1:12" x14ac:dyDescent="0.2">
      <c r="A310" s="70" t="s">
        <v>38</v>
      </c>
      <c r="B310" s="70"/>
      <c r="C310" s="70"/>
      <c r="D310" s="70"/>
      <c r="E310" s="70"/>
      <c r="F310" s="28"/>
      <c r="G310" s="28"/>
      <c r="H310" s="70" t="s">
        <v>79</v>
      </c>
      <c r="I310" s="70"/>
      <c r="J310" s="70"/>
      <c r="K310" s="70"/>
      <c r="L310" s="70"/>
    </row>
    <row r="311" spans="1:12" x14ac:dyDescent="0.2">
      <c r="A311" s="71"/>
      <c r="B311" s="71"/>
      <c r="C311" s="71"/>
      <c r="D311" s="71"/>
      <c r="E311" s="71"/>
      <c r="F311" s="26"/>
      <c r="G311" s="26"/>
      <c r="H311" s="71"/>
      <c r="I311" s="71"/>
      <c r="J311" s="71"/>
      <c r="K311" s="71"/>
      <c r="L311" s="71"/>
    </row>
    <row r="312" spans="1:12" x14ac:dyDescent="0.2">
      <c r="A312" s="98">
        <f>Student_Matrikelnummer</f>
        <v>3315035</v>
      </c>
      <c r="B312" s="98"/>
      <c r="C312" s="98"/>
      <c r="D312" s="98"/>
      <c r="E312" s="98"/>
      <c r="F312" s="99"/>
      <c r="G312" s="26"/>
      <c r="H312" s="77" t="str">
        <f>Ausbildungsbetrieb_Telefon</f>
        <v>0499417903612</v>
      </c>
      <c r="I312" s="71"/>
      <c r="J312" s="71"/>
      <c r="K312" s="71"/>
      <c r="L312" s="71"/>
    </row>
    <row r="313" spans="1:12" x14ac:dyDescent="0.2">
      <c r="A313" s="70" t="s">
        <v>41</v>
      </c>
      <c r="B313" s="70"/>
      <c r="C313" s="70"/>
      <c r="D313" s="70"/>
      <c r="E313" s="70"/>
      <c r="F313" s="28"/>
      <c r="G313" s="28"/>
      <c r="H313" s="70" t="s">
        <v>80</v>
      </c>
      <c r="I313" s="70"/>
      <c r="J313" s="70"/>
      <c r="K313" s="70"/>
      <c r="L313" s="70"/>
    </row>
    <row r="314" spans="1:12" ht="15" thickBot="1" x14ac:dyDescent="0.25">
      <c r="A314" s="71"/>
      <c r="B314" s="71"/>
      <c r="C314" s="71"/>
      <c r="D314" s="71"/>
      <c r="E314" s="71"/>
      <c r="F314" s="26"/>
      <c r="G314" s="26"/>
      <c r="H314" s="71"/>
      <c r="I314" s="71"/>
      <c r="J314" s="71"/>
      <c r="K314" s="71"/>
      <c r="L314" s="71"/>
    </row>
    <row r="315" spans="1:12" x14ac:dyDescent="0.2">
      <c r="A315" s="72"/>
      <c r="B315" s="73"/>
      <c r="C315" s="73"/>
      <c r="D315" s="73"/>
      <c r="E315" s="73" t="s">
        <v>81</v>
      </c>
      <c r="F315" s="15"/>
      <c r="G315" s="15"/>
      <c r="H315" s="74" t="s">
        <v>82</v>
      </c>
      <c r="I315" s="69"/>
      <c r="J315" s="69"/>
      <c r="K315" s="69"/>
      <c r="L315" s="69"/>
    </row>
    <row r="316" spans="1:12" ht="15" thickBot="1" x14ac:dyDescent="0.25">
      <c r="A316" s="100" t="s">
        <v>83</v>
      </c>
      <c r="B316" s="101"/>
      <c r="C316" s="75" t="s">
        <v>84</v>
      </c>
      <c r="D316" s="75"/>
      <c r="E316" s="102" t="s">
        <v>85</v>
      </c>
      <c r="F316" s="103"/>
      <c r="G316" s="18"/>
      <c r="H316" s="76" t="s">
        <v>86</v>
      </c>
      <c r="I316" s="69"/>
      <c r="J316" s="69"/>
      <c r="K316" s="69"/>
      <c r="L316" s="69"/>
    </row>
    <row r="317" spans="1:12" x14ac:dyDescent="0.2">
      <c r="A317" s="50">
        <f>A301+1</f>
        <v>196</v>
      </c>
      <c r="B317" s="51" t="str">
        <f>IF(WEEKDAY(C317,2)=1,"Mo",IF(WEEKDAY(C317,2)=2,"Di",IF(WEEKDAY(C317,2)=3,"Mi",IF(WEEKDAY(C317,2)=4,"Do.",IF(WEEKDAY(C317,2)=5,"Fr.",IF(WEEKDAY(C317,2)=6,"Sa.","So"))))))</f>
        <v>Mo</v>
      </c>
      <c r="C317" s="52">
        <f>C301+1</f>
        <v>46097</v>
      </c>
      <c r="D317" s="53"/>
      <c r="E317" s="54"/>
      <c r="F317" s="6" t="s">
        <v>88</v>
      </c>
      <c r="G317" s="8" t="s">
        <v>53</v>
      </c>
      <c r="H317" s="55"/>
      <c r="I317" s="79"/>
      <c r="J317" s="79"/>
      <c r="K317" s="79"/>
      <c r="L317" s="79"/>
    </row>
    <row r="318" spans="1:12" x14ac:dyDescent="0.2">
      <c r="A318" s="56">
        <f>A317+1</f>
        <v>197</v>
      </c>
      <c r="B318" s="57" t="str">
        <f t="shared" ref="B318:B344" si="21">IF(WEEKDAY(C318,2)=1,"Mo",IF(WEEKDAY(C318,2)=2,"Di",IF(WEEKDAY(C318,2)=3,"Mi",IF(WEEKDAY(C318,2)=4,"Do.",IF(WEEKDAY(C318,2)=5,"Fr.",IF(WEEKDAY(C318,2)=6,"Sa.","So"))))))</f>
        <v>Di</v>
      </c>
      <c r="C318" s="58">
        <f>C317+1</f>
        <v>46098</v>
      </c>
      <c r="D318" s="59"/>
      <c r="E318" s="60"/>
      <c r="F318" s="2" t="s">
        <v>88</v>
      </c>
      <c r="G318" s="3" t="s">
        <v>53</v>
      </c>
      <c r="H318" s="61"/>
      <c r="I318" s="79"/>
      <c r="J318" s="79"/>
      <c r="K318" s="79"/>
      <c r="L318" s="79"/>
    </row>
    <row r="319" spans="1:12" x14ac:dyDescent="0.2">
      <c r="A319" s="56">
        <f t="shared" ref="A319:A343" si="22">A318+1</f>
        <v>198</v>
      </c>
      <c r="B319" s="57" t="str">
        <f t="shared" si="21"/>
        <v>Mi</v>
      </c>
      <c r="C319" s="58">
        <f t="shared" ref="C319:C344" si="23">C318+1</f>
        <v>46099</v>
      </c>
      <c r="D319" s="59"/>
      <c r="E319" s="60"/>
      <c r="F319" s="2" t="s">
        <v>88</v>
      </c>
      <c r="G319" s="3" t="s">
        <v>53</v>
      </c>
      <c r="H319" s="61"/>
      <c r="I319" s="79"/>
      <c r="J319" s="79"/>
      <c r="K319" s="79"/>
      <c r="L319" s="79"/>
    </row>
    <row r="320" spans="1:12" x14ac:dyDescent="0.2">
      <c r="A320" s="56">
        <f t="shared" si="22"/>
        <v>199</v>
      </c>
      <c r="B320" s="57" t="str">
        <f t="shared" si="21"/>
        <v>Do.</v>
      </c>
      <c r="C320" s="58">
        <f t="shared" si="23"/>
        <v>46100</v>
      </c>
      <c r="D320" s="59"/>
      <c r="E320" s="60"/>
      <c r="F320" s="2" t="s">
        <v>88</v>
      </c>
      <c r="G320" s="3" t="s">
        <v>53</v>
      </c>
      <c r="H320" s="61"/>
      <c r="I320" s="79"/>
      <c r="J320" s="79"/>
      <c r="K320" s="79"/>
      <c r="L320" s="79"/>
    </row>
    <row r="321" spans="1:12" x14ac:dyDescent="0.2">
      <c r="A321" s="56">
        <f t="shared" si="22"/>
        <v>200</v>
      </c>
      <c r="B321" s="57" t="str">
        <f t="shared" si="21"/>
        <v>Fr.</v>
      </c>
      <c r="C321" s="58">
        <f t="shared" si="23"/>
        <v>46101</v>
      </c>
      <c r="D321" s="59"/>
      <c r="E321" s="60"/>
      <c r="F321" s="2" t="s">
        <v>88</v>
      </c>
      <c r="G321" s="3" t="s">
        <v>53</v>
      </c>
      <c r="H321" s="61"/>
      <c r="I321" s="79"/>
      <c r="J321" s="79"/>
      <c r="K321" s="79"/>
      <c r="L321" s="79"/>
    </row>
    <row r="322" spans="1:12" x14ac:dyDescent="0.2">
      <c r="A322" s="56">
        <f t="shared" si="22"/>
        <v>201</v>
      </c>
      <c r="B322" s="57" t="str">
        <f t="shared" si="21"/>
        <v>Sa.</v>
      </c>
      <c r="C322" s="58">
        <f t="shared" si="23"/>
        <v>46102</v>
      </c>
      <c r="D322" s="59"/>
      <c r="E322" s="60"/>
      <c r="F322" s="2" t="s">
        <v>88</v>
      </c>
      <c r="G322" s="3" t="s">
        <v>53</v>
      </c>
      <c r="H322" s="61"/>
      <c r="I322" s="79"/>
      <c r="J322" s="79"/>
      <c r="K322" s="79"/>
      <c r="L322" s="79"/>
    </row>
    <row r="323" spans="1:12" x14ac:dyDescent="0.2">
      <c r="A323" s="56">
        <f t="shared" si="22"/>
        <v>202</v>
      </c>
      <c r="B323" s="57" t="str">
        <f t="shared" si="21"/>
        <v>So</v>
      </c>
      <c r="C323" s="58">
        <f t="shared" si="23"/>
        <v>46103</v>
      </c>
      <c r="D323" s="59"/>
      <c r="E323" s="60"/>
      <c r="F323" s="2" t="s">
        <v>88</v>
      </c>
      <c r="G323" s="3" t="s">
        <v>53</v>
      </c>
      <c r="H323" s="61"/>
      <c r="I323" s="79"/>
      <c r="J323" s="79"/>
      <c r="K323" s="79"/>
      <c r="L323" s="79"/>
    </row>
    <row r="324" spans="1:12" x14ac:dyDescent="0.2">
      <c r="A324" s="56">
        <f t="shared" si="22"/>
        <v>203</v>
      </c>
      <c r="B324" s="57" t="str">
        <f t="shared" si="21"/>
        <v>Mo</v>
      </c>
      <c r="C324" s="58">
        <f t="shared" si="23"/>
        <v>46104</v>
      </c>
      <c r="D324" s="59"/>
      <c r="E324" s="60"/>
      <c r="F324" s="2" t="s">
        <v>88</v>
      </c>
      <c r="G324" s="3" t="s">
        <v>53</v>
      </c>
      <c r="H324" s="61"/>
      <c r="I324" s="79"/>
      <c r="J324" s="79"/>
      <c r="K324" s="79"/>
      <c r="L324" s="79"/>
    </row>
    <row r="325" spans="1:12" x14ac:dyDescent="0.2">
      <c r="A325" s="56">
        <f t="shared" si="22"/>
        <v>204</v>
      </c>
      <c r="B325" s="57" t="str">
        <f t="shared" si="21"/>
        <v>Di</v>
      </c>
      <c r="C325" s="58">
        <f t="shared" si="23"/>
        <v>46105</v>
      </c>
      <c r="D325" s="59"/>
      <c r="E325" s="60"/>
      <c r="F325" s="2" t="s">
        <v>88</v>
      </c>
      <c r="G325" s="3" t="s">
        <v>53</v>
      </c>
      <c r="H325" s="61"/>
      <c r="I325" s="79"/>
      <c r="J325" s="79"/>
      <c r="K325" s="79"/>
      <c r="L325" s="79"/>
    </row>
    <row r="326" spans="1:12" x14ac:dyDescent="0.2">
      <c r="A326" s="56">
        <f t="shared" si="22"/>
        <v>205</v>
      </c>
      <c r="B326" s="57" t="str">
        <f t="shared" si="21"/>
        <v>Mi</v>
      </c>
      <c r="C326" s="58">
        <f t="shared" si="23"/>
        <v>46106</v>
      </c>
      <c r="D326" s="59"/>
      <c r="E326" s="60"/>
      <c r="F326" s="2" t="s">
        <v>88</v>
      </c>
      <c r="G326" s="3" t="s">
        <v>53</v>
      </c>
      <c r="H326" s="61"/>
      <c r="I326" s="79"/>
      <c r="J326" s="79"/>
      <c r="K326" s="79"/>
      <c r="L326" s="79"/>
    </row>
    <row r="327" spans="1:12" x14ac:dyDescent="0.2">
      <c r="A327" s="56">
        <f t="shared" si="22"/>
        <v>206</v>
      </c>
      <c r="B327" s="57" t="str">
        <f t="shared" si="21"/>
        <v>Do.</v>
      </c>
      <c r="C327" s="58">
        <f t="shared" si="23"/>
        <v>46107</v>
      </c>
      <c r="D327" s="59"/>
      <c r="E327" s="60"/>
      <c r="F327" s="2" t="s">
        <v>88</v>
      </c>
      <c r="G327" s="3" t="s">
        <v>53</v>
      </c>
      <c r="H327" s="61"/>
      <c r="I327" s="79"/>
      <c r="J327" s="79"/>
      <c r="K327" s="79"/>
      <c r="L327" s="79"/>
    </row>
    <row r="328" spans="1:12" x14ac:dyDescent="0.2">
      <c r="A328" s="56">
        <f t="shared" si="22"/>
        <v>207</v>
      </c>
      <c r="B328" s="57" t="str">
        <f t="shared" si="21"/>
        <v>Fr.</v>
      </c>
      <c r="C328" s="58">
        <f t="shared" si="23"/>
        <v>46108</v>
      </c>
      <c r="D328" s="59"/>
      <c r="E328" s="60"/>
      <c r="F328" s="2" t="s">
        <v>88</v>
      </c>
      <c r="G328" s="3" t="s">
        <v>53</v>
      </c>
      <c r="H328" s="61"/>
      <c r="I328" s="79"/>
      <c r="J328" s="79"/>
      <c r="K328" s="79"/>
      <c r="L328" s="79"/>
    </row>
    <row r="329" spans="1:12" x14ac:dyDescent="0.2">
      <c r="A329" s="56">
        <f t="shared" si="22"/>
        <v>208</v>
      </c>
      <c r="B329" s="57" t="str">
        <f t="shared" si="21"/>
        <v>Sa.</v>
      </c>
      <c r="C329" s="58">
        <f t="shared" si="23"/>
        <v>46109</v>
      </c>
      <c r="D329" s="59"/>
      <c r="E329" s="60"/>
      <c r="F329" s="2" t="s">
        <v>88</v>
      </c>
      <c r="G329" s="3" t="s">
        <v>53</v>
      </c>
      <c r="H329" s="61"/>
      <c r="I329" s="79"/>
      <c r="J329" s="79"/>
      <c r="K329" s="79"/>
      <c r="L329" s="79"/>
    </row>
    <row r="330" spans="1:12" x14ac:dyDescent="0.2">
      <c r="A330" s="56">
        <f t="shared" si="22"/>
        <v>209</v>
      </c>
      <c r="B330" s="57" t="str">
        <f t="shared" si="21"/>
        <v>So</v>
      </c>
      <c r="C330" s="58">
        <f t="shared" si="23"/>
        <v>46110</v>
      </c>
      <c r="D330" s="59"/>
      <c r="E330" s="60"/>
      <c r="F330" s="2" t="s">
        <v>88</v>
      </c>
      <c r="G330" s="3" t="s">
        <v>53</v>
      </c>
      <c r="H330" s="61"/>
      <c r="I330" s="79"/>
      <c r="J330" s="79"/>
      <c r="K330" s="79"/>
      <c r="L330" s="79"/>
    </row>
    <row r="331" spans="1:12" x14ac:dyDescent="0.2">
      <c r="A331" s="56">
        <f t="shared" si="22"/>
        <v>210</v>
      </c>
      <c r="B331" s="57" t="str">
        <f t="shared" si="21"/>
        <v>Mo</v>
      </c>
      <c r="C331" s="58">
        <f t="shared" si="23"/>
        <v>46111</v>
      </c>
      <c r="D331" s="59"/>
      <c r="E331" s="60"/>
      <c r="F331" s="2" t="s">
        <v>88</v>
      </c>
      <c r="G331" s="3" t="s">
        <v>53</v>
      </c>
      <c r="H331" s="61"/>
      <c r="I331" s="79"/>
      <c r="J331" s="79"/>
      <c r="K331" s="79"/>
      <c r="L331" s="79"/>
    </row>
    <row r="332" spans="1:12" x14ac:dyDescent="0.2">
      <c r="A332" s="56">
        <f t="shared" si="22"/>
        <v>211</v>
      </c>
      <c r="B332" s="57" t="str">
        <f t="shared" si="21"/>
        <v>Di</v>
      </c>
      <c r="C332" s="58">
        <f t="shared" si="23"/>
        <v>46112</v>
      </c>
      <c r="D332" s="59"/>
      <c r="E332" s="60"/>
      <c r="F332" s="2" t="s">
        <v>88</v>
      </c>
      <c r="G332" s="3" t="s">
        <v>53</v>
      </c>
      <c r="H332" s="61"/>
      <c r="I332" s="79"/>
      <c r="J332" s="79"/>
      <c r="K332" s="79"/>
      <c r="L332" s="79"/>
    </row>
    <row r="333" spans="1:12" x14ac:dyDescent="0.2">
      <c r="A333" s="56">
        <f t="shared" si="22"/>
        <v>212</v>
      </c>
      <c r="B333" s="57" t="str">
        <f t="shared" si="21"/>
        <v>Mi</v>
      </c>
      <c r="C333" s="58">
        <f t="shared" si="23"/>
        <v>46113</v>
      </c>
      <c r="D333" s="59"/>
      <c r="E333" s="60"/>
      <c r="F333" s="2" t="s">
        <v>88</v>
      </c>
      <c r="G333" s="3" t="s">
        <v>53</v>
      </c>
      <c r="H333" s="61"/>
      <c r="I333" s="79"/>
      <c r="J333" s="79"/>
      <c r="K333" s="79"/>
      <c r="L333" s="79"/>
    </row>
    <row r="334" spans="1:12" x14ac:dyDescent="0.2">
      <c r="A334" s="56">
        <f t="shared" si="22"/>
        <v>213</v>
      </c>
      <c r="B334" s="57" t="str">
        <f t="shared" si="21"/>
        <v>Do.</v>
      </c>
      <c r="C334" s="58">
        <f t="shared" si="23"/>
        <v>46114</v>
      </c>
      <c r="D334" s="59"/>
      <c r="E334" s="60"/>
      <c r="F334" s="2" t="s">
        <v>88</v>
      </c>
      <c r="G334" s="3" t="s">
        <v>53</v>
      </c>
      <c r="H334" s="61"/>
      <c r="I334" s="79"/>
      <c r="J334" s="79"/>
      <c r="K334" s="79"/>
      <c r="L334" s="79"/>
    </row>
    <row r="335" spans="1:12" x14ac:dyDescent="0.2">
      <c r="A335" s="56">
        <f t="shared" si="22"/>
        <v>214</v>
      </c>
      <c r="B335" s="57" t="str">
        <f t="shared" si="21"/>
        <v>Fr.</v>
      </c>
      <c r="C335" s="58">
        <f t="shared" si="23"/>
        <v>46115</v>
      </c>
      <c r="D335" s="59"/>
      <c r="E335" s="60"/>
      <c r="F335" s="2" t="s">
        <v>88</v>
      </c>
      <c r="G335" s="3" t="s">
        <v>53</v>
      </c>
      <c r="H335" s="61"/>
      <c r="I335" s="79"/>
      <c r="J335" s="79"/>
      <c r="K335" s="79"/>
      <c r="L335" s="79"/>
    </row>
    <row r="336" spans="1:12" x14ac:dyDescent="0.2">
      <c r="A336" s="56">
        <f t="shared" si="22"/>
        <v>215</v>
      </c>
      <c r="B336" s="57" t="str">
        <f t="shared" si="21"/>
        <v>Sa.</v>
      </c>
      <c r="C336" s="58">
        <f t="shared" si="23"/>
        <v>46116</v>
      </c>
      <c r="D336" s="59"/>
      <c r="E336" s="60"/>
      <c r="F336" s="2" t="s">
        <v>88</v>
      </c>
      <c r="G336" s="3" t="s">
        <v>53</v>
      </c>
      <c r="H336" s="61"/>
      <c r="I336" s="79"/>
      <c r="J336" s="79"/>
      <c r="K336" s="79"/>
      <c r="L336" s="79"/>
    </row>
    <row r="337" spans="1:27" x14ac:dyDescent="0.2">
      <c r="A337" s="56">
        <f t="shared" si="22"/>
        <v>216</v>
      </c>
      <c r="B337" s="57" t="str">
        <f t="shared" si="21"/>
        <v>So</v>
      </c>
      <c r="C337" s="58">
        <f t="shared" si="23"/>
        <v>46117</v>
      </c>
      <c r="D337" s="59"/>
      <c r="E337" s="60"/>
      <c r="F337" s="2" t="s">
        <v>88</v>
      </c>
      <c r="G337" s="3" t="s">
        <v>53</v>
      </c>
      <c r="H337" s="61"/>
      <c r="I337" s="79"/>
      <c r="J337" s="79"/>
      <c r="K337" s="79"/>
      <c r="L337" s="79"/>
    </row>
    <row r="338" spans="1:27" x14ac:dyDescent="0.2">
      <c r="A338" s="56">
        <f t="shared" si="22"/>
        <v>217</v>
      </c>
      <c r="B338" s="57" t="str">
        <f t="shared" si="21"/>
        <v>Mo</v>
      </c>
      <c r="C338" s="58">
        <f t="shared" si="23"/>
        <v>46118</v>
      </c>
      <c r="D338" s="59"/>
      <c r="E338" s="60"/>
      <c r="F338" s="2" t="s">
        <v>88</v>
      </c>
      <c r="G338" s="3" t="s">
        <v>53</v>
      </c>
      <c r="H338" s="61"/>
      <c r="I338" s="79"/>
      <c r="J338" s="79"/>
      <c r="K338" s="79"/>
      <c r="L338" s="79"/>
    </row>
    <row r="339" spans="1:27" x14ac:dyDescent="0.2">
      <c r="A339" s="56">
        <f t="shared" si="22"/>
        <v>218</v>
      </c>
      <c r="B339" s="57" t="str">
        <f t="shared" si="21"/>
        <v>Di</v>
      </c>
      <c r="C339" s="58">
        <f t="shared" si="23"/>
        <v>46119</v>
      </c>
      <c r="D339" s="59"/>
      <c r="E339" s="60"/>
      <c r="F339" s="2" t="s">
        <v>88</v>
      </c>
      <c r="G339" s="3" t="s">
        <v>53</v>
      </c>
      <c r="H339" s="61"/>
      <c r="I339" s="79"/>
      <c r="J339" s="79"/>
      <c r="K339" s="79"/>
      <c r="L339" s="79"/>
    </row>
    <row r="340" spans="1:27" x14ac:dyDescent="0.2">
      <c r="A340" s="56">
        <f t="shared" si="22"/>
        <v>219</v>
      </c>
      <c r="B340" s="57" t="str">
        <f t="shared" si="21"/>
        <v>Mi</v>
      </c>
      <c r="C340" s="58">
        <f t="shared" si="23"/>
        <v>46120</v>
      </c>
      <c r="D340" s="59"/>
      <c r="E340" s="62"/>
      <c r="F340" s="2" t="s">
        <v>88</v>
      </c>
      <c r="G340" s="3" t="s">
        <v>53</v>
      </c>
      <c r="H340" s="61"/>
      <c r="I340" s="79"/>
      <c r="J340" s="79"/>
      <c r="K340" s="79"/>
      <c r="L340" s="79"/>
    </row>
    <row r="341" spans="1:27" x14ac:dyDescent="0.2">
      <c r="A341" s="56">
        <f t="shared" si="22"/>
        <v>220</v>
      </c>
      <c r="B341" s="57" t="str">
        <f t="shared" si="21"/>
        <v>Do.</v>
      </c>
      <c r="C341" s="58">
        <f t="shared" si="23"/>
        <v>46121</v>
      </c>
      <c r="D341" s="59"/>
      <c r="E341" s="62"/>
      <c r="F341" s="2" t="s">
        <v>88</v>
      </c>
      <c r="G341" s="3" t="s">
        <v>53</v>
      </c>
      <c r="H341" s="61"/>
      <c r="I341" s="79"/>
      <c r="J341" s="79"/>
      <c r="K341" s="79"/>
      <c r="L341" s="79"/>
    </row>
    <row r="342" spans="1:27" x14ac:dyDescent="0.2">
      <c r="A342" s="56">
        <f t="shared" si="22"/>
        <v>221</v>
      </c>
      <c r="B342" s="57" t="str">
        <f t="shared" si="21"/>
        <v>Fr.</v>
      </c>
      <c r="C342" s="58">
        <f t="shared" si="23"/>
        <v>46122</v>
      </c>
      <c r="D342" s="59"/>
      <c r="E342" s="60"/>
      <c r="F342" s="2" t="s">
        <v>88</v>
      </c>
      <c r="G342" s="3" t="s">
        <v>53</v>
      </c>
      <c r="H342" s="61"/>
      <c r="I342" s="79"/>
      <c r="J342" s="79"/>
      <c r="K342" s="79"/>
      <c r="L342" s="79"/>
    </row>
    <row r="343" spans="1:27" x14ac:dyDescent="0.2">
      <c r="A343" s="56">
        <f t="shared" si="22"/>
        <v>222</v>
      </c>
      <c r="B343" s="57" t="str">
        <f t="shared" si="21"/>
        <v>Sa.</v>
      </c>
      <c r="C343" s="58">
        <f t="shared" si="23"/>
        <v>46123</v>
      </c>
      <c r="D343" s="59"/>
      <c r="E343" s="60"/>
      <c r="F343" s="2" t="s">
        <v>88</v>
      </c>
      <c r="G343" s="3" t="s">
        <v>53</v>
      </c>
      <c r="H343" s="61"/>
      <c r="I343" s="79"/>
      <c r="J343" s="79"/>
      <c r="K343" s="79"/>
      <c r="L343" s="79"/>
    </row>
    <row r="344" spans="1:27" ht="15" thickBot="1" x14ac:dyDescent="0.25">
      <c r="A344" s="63">
        <f>A343+1</f>
        <v>223</v>
      </c>
      <c r="B344" s="64" t="str">
        <f t="shared" si="21"/>
        <v>So</v>
      </c>
      <c r="C344" s="65">
        <f t="shared" si="23"/>
        <v>46124</v>
      </c>
      <c r="D344" s="66"/>
      <c r="E344" s="67"/>
      <c r="F344" s="11" t="s">
        <v>88</v>
      </c>
      <c r="G344" s="13" t="s">
        <v>53</v>
      </c>
      <c r="H344" s="68"/>
      <c r="I344" s="79"/>
      <c r="J344" s="79"/>
      <c r="K344" s="79"/>
      <c r="L344" s="79"/>
      <c r="N344" s="47"/>
      <c r="O344" s="48" t="s">
        <v>109</v>
      </c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spans="1:27" x14ac:dyDescent="0.2">
      <c r="A345" s="69"/>
      <c r="B345" s="69"/>
      <c r="C345" s="69"/>
      <c r="D345" s="69"/>
      <c r="E345" s="69"/>
      <c r="F345" s="24"/>
      <c r="G345" s="24"/>
      <c r="H345" s="69"/>
      <c r="I345" s="69"/>
      <c r="J345" s="69"/>
      <c r="K345" s="69"/>
      <c r="L345" s="69"/>
      <c r="N345" s="46"/>
      <c r="O345" s="1" t="s">
        <v>104</v>
      </c>
    </row>
    <row r="346" spans="1:27" x14ac:dyDescent="0.2">
      <c r="A346" s="98" t="str">
        <f>Student_Name</f>
        <v>Dirnberger</v>
      </c>
      <c r="B346" s="98"/>
      <c r="C346" s="98"/>
      <c r="D346" s="98"/>
      <c r="E346" s="98"/>
      <c r="F346" s="99"/>
      <c r="G346" s="26"/>
      <c r="H346" s="77" t="str">
        <f>Ausbildungsbetrieb_Unternehmen</f>
        <v>Continental Automotiv Technologies GmbH</v>
      </c>
      <c r="I346" s="71"/>
      <c r="J346" s="71"/>
      <c r="K346" s="71"/>
      <c r="L346" s="71"/>
    </row>
    <row r="347" spans="1:27" x14ac:dyDescent="0.2">
      <c r="A347" s="70" t="s">
        <v>31</v>
      </c>
      <c r="B347" s="70"/>
      <c r="C347" s="70"/>
      <c r="D347" s="70"/>
      <c r="E347" s="70"/>
      <c r="F347" s="28"/>
      <c r="G347" s="28"/>
      <c r="H347" s="70" t="s">
        <v>32</v>
      </c>
      <c r="I347" s="70"/>
      <c r="J347" s="70"/>
      <c r="K347" s="70"/>
      <c r="L347" s="70"/>
    </row>
    <row r="348" spans="1:27" x14ac:dyDescent="0.2">
      <c r="A348" s="71"/>
      <c r="B348" s="71"/>
      <c r="C348" s="71"/>
      <c r="D348" s="71"/>
      <c r="E348" s="71"/>
      <c r="F348" s="26"/>
      <c r="G348" s="26"/>
      <c r="H348" s="71"/>
      <c r="I348" s="71"/>
      <c r="J348" s="71"/>
      <c r="K348" s="71"/>
      <c r="L348" s="71"/>
    </row>
    <row r="349" spans="1:27" x14ac:dyDescent="0.2">
      <c r="A349" s="98" t="str">
        <f>Student_Vorname</f>
        <v>Hubert</v>
      </c>
      <c r="B349" s="98"/>
      <c r="C349" s="98"/>
      <c r="D349" s="98"/>
      <c r="E349" s="98"/>
      <c r="F349" s="99"/>
      <c r="G349" s="26"/>
      <c r="H349" s="77" t="str">
        <f>CONCATENATE(Ausbildungsbetrieb_Vorname, " ", Ausbildungsbetrieb_Name)</f>
        <v>Christian Ruppel</v>
      </c>
      <c r="I349" s="71"/>
      <c r="J349" s="71"/>
      <c r="K349" s="71"/>
      <c r="L349" s="71"/>
    </row>
    <row r="350" spans="1:27" x14ac:dyDescent="0.2">
      <c r="A350" s="70" t="s">
        <v>34</v>
      </c>
      <c r="B350" s="70"/>
      <c r="C350" s="70"/>
      <c r="D350" s="70"/>
      <c r="E350" s="70"/>
      <c r="F350" s="28"/>
      <c r="G350" s="28"/>
      <c r="H350" s="70" t="s">
        <v>78</v>
      </c>
      <c r="I350" s="70"/>
      <c r="J350" s="70"/>
      <c r="K350" s="70"/>
      <c r="L350" s="70"/>
    </row>
    <row r="351" spans="1:27" x14ac:dyDescent="0.2">
      <c r="A351" s="71"/>
      <c r="B351" s="71"/>
      <c r="C351" s="71"/>
      <c r="D351" s="71"/>
      <c r="E351" s="71"/>
      <c r="F351" s="26"/>
      <c r="G351" s="26"/>
      <c r="H351" s="71"/>
      <c r="I351" s="71"/>
      <c r="J351" s="71"/>
      <c r="K351" s="71"/>
      <c r="L351" s="71"/>
    </row>
    <row r="352" spans="1:27" x14ac:dyDescent="0.2">
      <c r="A352" s="98" t="str">
        <f>Student_Studiengruppe</f>
        <v>MB8</v>
      </c>
      <c r="B352" s="98"/>
      <c r="C352" s="98"/>
      <c r="D352" s="98"/>
      <c r="E352" s="98"/>
      <c r="F352" s="99"/>
      <c r="G352" s="26"/>
      <c r="H352" s="77" t="str">
        <f>Ausbildungsbetrieb_Email</f>
        <v>christian.ruppel@continental-corporaion.com</v>
      </c>
      <c r="I352" s="71"/>
      <c r="J352" s="71"/>
      <c r="K352" s="71"/>
      <c r="L352" s="71"/>
    </row>
    <row r="353" spans="1:12" x14ac:dyDescent="0.2">
      <c r="A353" s="70" t="s">
        <v>38</v>
      </c>
      <c r="B353" s="70"/>
      <c r="C353" s="70"/>
      <c r="D353" s="70"/>
      <c r="E353" s="70"/>
      <c r="F353" s="28"/>
      <c r="G353" s="28"/>
      <c r="H353" s="70" t="s">
        <v>79</v>
      </c>
      <c r="I353" s="70"/>
      <c r="J353" s="70"/>
      <c r="K353" s="70"/>
      <c r="L353" s="70"/>
    </row>
    <row r="354" spans="1:12" x14ac:dyDescent="0.2">
      <c r="A354" s="71"/>
      <c r="B354" s="71"/>
      <c r="C354" s="71"/>
      <c r="D354" s="71"/>
      <c r="E354" s="71"/>
      <c r="F354" s="26"/>
      <c r="G354" s="26"/>
      <c r="H354" s="71"/>
      <c r="I354" s="71"/>
      <c r="J354" s="71"/>
      <c r="K354" s="71"/>
      <c r="L354" s="71"/>
    </row>
    <row r="355" spans="1:12" x14ac:dyDescent="0.2">
      <c r="A355" s="98">
        <f>Student_Matrikelnummer</f>
        <v>3315035</v>
      </c>
      <c r="B355" s="98"/>
      <c r="C355" s="98"/>
      <c r="D355" s="98"/>
      <c r="E355" s="98"/>
      <c r="F355" s="99"/>
      <c r="G355" s="26"/>
      <c r="H355" s="77" t="str">
        <f>Ausbildungsbetrieb_Telefon</f>
        <v>0499417903612</v>
      </c>
      <c r="I355" s="71"/>
      <c r="J355" s="71"/>
      <c r="K355" s="71"/>
      <c r="L355" s="71"/>
    </row>
    <row r="356" spans="1:12" x14ac:dyDescent="0.2">
      <c r="A356" s="70" t="s">
        <v>41</v>
      </c>
      <c r="B356" s="70"/>
      <c r="C356" s="70"/>
      <c r="D356" s="70"/>
      <c r="E356" s="70"/>
      <c r="F356" s="28"/>
      <c r="G356" s="28"/>
      <c r="H356" s="70" t="s">
        <v>80</v>
      </c>
      <c r="I356" s="70"/>
      <c r="J356" s="70"/>
      <c r="K356" s="70"/>
      <c r="L356" s="70"/>
    </row>
    <row r="357" spans="1:12" ht="15" thickBot="1" x14ac:dyDescent="0.25">
      <c r="A357" s="71"/>
      <c r="B357" s="71"/>
      <c r="C357" s="71"/>
      <c r="D357" s="71"/>
      <c r="E357" s="71"/>
      <c r="F357" s="26"/>
      <c r="G357" s="26"/>
      <c r="H357" s="71"/>
      <c r="I357" s="71"/>
      <c r="J357" s="71"/>
      <c r="K357" s="71"/>
      <c r="L357" s="71"/>
    </row>
    <row r="358" spans="1:12" x14ac:dyDescent="0.2">
      <c r="A358" s="72"/>
      <c r="B358" s="73"/>
      <c r="C358" s="73"/>
      <c r="D358" s="73"/>
      <c r="E358" s="73" t="s">
        <v>81</v>
      </c>
      <c r="F358" s="15"/>
      <c r="G358" s="15"/>
      <c r="H358" s="74" t="s">
        <v>82</v>
      </c>
      <c r="I358" s="69"/>
      <c r="J358" s="69"/>
      <c r="K358" s="69"/>
      <c r="L358" s="69"/>
    </row>
    <row r="359" spans="1:12" ht="15" thickBot="1" x14ac:dyDescent="0.25">
      <c r="A359" s="100" t="s">
        <v>83</v>
      </c>
      <c r="B359" s="101"/>
      <c r="C359" s="75" t="s">
        <v>84</v>
      </c>
      <c r="D359" s="75"/>
      <c r="E359" s="102" t="s">
        <v>85</v>
      </c>
      <c r="F359" s="103"/>
      <c r="G359" s="18"/>
      <c r="H359" s="76" t="s">
        <v>86</v>
      </c>
      <c r="I359" s="69"/>
      <c r="J359" s="69"/>
      <c r="K359" s="69"/>
      <c r="L359" s="69"/>
    </row>
    <row r="360" spans="1:12" x14ac:dyDescent="0.2">
      <c r="A360" s="5">
        <f>A344+1</f>
        <v>224</v>
      </c>
      <c r="B360" s="6" t="str">
        <f>IF(WEEKDAY(C360,2)=1,"Mo",IF(WEEKDAY(C360,2)=2,"Di",IF(WEEKDAY(C360,2)=3,"Mi",IF(WEEKDAY(C360,2)=4,"Do.",IF(WEEKDAY(C360,2)=5,"Fr.",IF(WEEKDAY(C360,2)=6,"Sa.","So"))))))</f>
        <v>Mo</v>
      </c>
      <c r="C360" s="7">
        <f>C344+1</f>
        <v>46125</v>
      </c>
      <c r="D360" s="42"/>
      <c r="E360" s="8"/>
      <c r="F360" s="6" t="s">
        <v>88</v>
      </c>
      <c r="G360" s="8" t="s">
        <v>53</v>
      </c>
      <c r="H360" s="20"/>
      <c r="I360" s="80"/>
      <c r="J360" s="80"/>
      <c r="K360" s="80"/>
      <c r="L360" s="80"/>
    </row>
    <row r="361" spans="1:12" x14ac:dyDescent="0.2">
      <c r="A361" s="9">
        <f>A360+1</f>
        <v>225</v>
      </c>
      <c r="B361" s="2" t="str">
        <f t="shared" ref="B361:B387" si="24">IF(WEEKDAY(C361,2)=1,"Mo",IF(WEEKDAY(C361,2)=2,"Di",IF(WEEKDAY(C361,2)=3,"Mi",IF(WEEKDAY(C361,2)=4,"Do.",IF(WEEKDAY(C361,2)=5,"Fr.",IF(WEEKDAY(C361,2)=6,"Sa.","So"))))))</f>
        <v>Di</v>
      </c>
      <c r="C361" s="4">
        <f>C360+1</f>
        <v>46126</v>
      </c>
      <c r="D361" s="43"/>
      <c r="E361" s="3"/>
      <c r="F361" s="2" t="s">
        <v>88</v>
      </c>
      <c r="G361" s="3" t="s">
        <v>53</v>
      </c>
      <c r="H361" s="21"/>
      <c r="I361" s="80"/>
      <c r="J361" s="80"/>
      <c r="K361" s="80"/>
      <c r="L361" s="80"/>
    </row>
    <row r="362" spans="1:12" x14ac:dyDescent="0.2">
      <c r="A362" s="9">
        <f t="shared" ref="A362:A386" si="25">A361+1</f>
        <v>226</v>
      </c>
      <c r="B362" s="2" t="str">
        <f t="shared" si="24"/>
        <v>Mi</v>
      </c>
      <c r="C362" s="4">
        <f t="shared" ref="C362:C387" si="26">C361+1</f>
        <v>46127</v>
      </c>
      <c r="D362" s="43"/>
      <c r="E362" s="3"/>
      <c r="F362" s="2" t="s">
        <v>88</v>
      </c>
      <c r="G362" s="3" t="s">
        <v>53</v>
      </c>
      <c r="H362" s="21"/>
      <c r="I362" s="80"/>
      <c r="J362" s="80"/>
      <c r="K362" s="80"/>
      <c r="L362" s="80"/>
    </row>
    <row r="363" spans="1:12" x14ac:dyDescent="0.2">
      <c r="A363" s="9">
        <f t="shared" si="25"/>
        <v>227</v>
      </c>
      <c r="B363" s="2" t="str">
        <f t="shared" si="24"/>
        <v>Do.</v>
      </c>
      <c r="C363" s="4">
        <f t="shared" si="26"/>
        <v>46128</v>
      </c>
      <c r="D363" s="43"/>
      <c r="E363" s="3"/>
      <c r="F363" s="2" t="s">
        <v>88</v>
      </c>
      <c r="G363" s="3" t="s">
        <v>53</v>
      </c>
      <c r="H363" s="21"/>
      <c r="I363" s="80"/>
      <c r="J363" s="80"/>
      <c r="K363" s="80"/>
      <c r="L363" s="80"/>
    </row>
    <row r="364" spans="1:12" x14ac:dyDescent="0.2">
      <c r="A364" s="9">
        <f t="shared" si="25"/>
        <v>228</v>
      </c>
      <c r="B364" s="2" t="str">
        <f t="shared" si="24"/>
        <v>Fr.</v>
      </c>
      <c r="C364" s="4">
        <f t="shared" si="26"/>
        <v>46129</v>
      </c>
      <c r="D364" s="43"/>
      <c r="E364" s="3"/>
      <c r="F364" s="2" t="s">
        <v>88</v>
      </c>
      <c r="G364" s="3" t="s">
        <v>53</v>
      </c>
      <c r="H364" s="21"/>
      <c r="I364" s="80"/>
      <c r="J364" s="80"/>
      <c r="K364" s="80"/>
      <c r="L364" s="80"/>
    </row>
    <row r="365" spans="1:12" x14ac:dyDescent="0.2">
      <c r="A365" s="9">
        <f t="shared" si="25"/>
        <v>229</v>
      </c>
      <c r="B365" s="2" t="str">
        <f t="shared" si="24"/>
        <v>Sa.</v>
      </c>
      <c r="C365" s="4">
        <f t="shared" si="26"/>
        <v>46130</v>
      </c>
      <c r="D365" s="43"/>
      <c r="E365" s="3"/>
      <c r="F365" s="2" t="s">
        <v>88</v>
      </c>
      <c r="G365" s="3" t="s">
        <v>53</v>
      </c>
      <c r="H365" s="21"/>
      <c r="I365" s="80"/>
      <c r="J365" s="80"/>
      <c r="K365" s="80"/>
      <c r="L365" s="80"/>
    </row>
    <row r="366" spans="1:12" x14ac:dyDescent="0.2">
      <c r="A366" s="9">
        <f t="shared" si="25"/>
        <v>230</v>
      </c>
      <c r="B366" s="2" t="str">
        <f t="shared" si="24"/>
        <v>So</v>
      </c>
      <c r="C366" s="4">
        <f t="shared" si="26"/>
        <v>46131</v>
      </c>
      <c r="D366" s="43"/>
      <c r="E366" s="3"/>
      <c r="F366" s="2" t="s">
        <v>88</v>
      </c>
      <c r="G366" s="3" t="s">
        <v>53</v>
      </c>
      <c r="H366" s="21"/>
      <c r="I366" s="80"/>
      <c r="J366" s="80"/>
      <c r="K366" s="80"/>
      <c r="L366" s="80"/>
    </row>
    <row r="367" spans="1:12" x14ac:dyDescent="0.2">
      <c r="A367" s="9">
        <f t="shared" si="25"/>
        <v>231</v>
      </c>
      <c r="B367" s="2" t="str">
        <f t="shared" si="24"/>
        <v>Mo</v>
      </c>
      <c r="C367" s="4">
        <f t="shared" si="26"/>
        <v>46132</v>
      </c>
      <c r="D367" s="43"/>
      <c r="E367" s="3"/>
      <c r="F367" s="2" t="s">
        <v>88</v>
      </c>
      <c r="G367" s="3" t="s">
        <v>53</v>
      </c>
      <c r="H367" s="21"/>
      <c r="I367" s="80"/>
      <c r="J367" s="80"/>
      <c r="K367" s="80"/>
      <c r="L367" s="80"/>
    </row>
    <row r="368" spans="1:12" x14ac:dyDescent="0.2">
      <c r="A368" s="9">
        <f t="shared" si="25"/>
        <v>232</v>
      </c>
      <c r="B368" s="2" t="str">
        <f t="shared" si="24"/>
        <v>Di</v>
      </c>
      <c r="C368" s="4">
        <f t="shared" si="26"/>
        <v>46133</v>
      </c>
      <c r="D368" s="43"/>
      <c r="E368" s="3"/>
      <c r="F368" s="2" t="s">
        <v>88</v>
      </c>
      <c r="G368" s="3" t="s">
        <v>53</v>
      </c>
      <c r="H368" s="21"/>
      <c r="I368" s="80"/>
      <c r="J368" s="80"/>
      <c r="K368" s="80"/>
      <c r="L368" s="80"/>
    </row>
    <row r="369" spans="1:12" x14ac:dyDescent="0.2">
      <c r="A369" s="9">
        <f t="shared" si="25"/>
        <v>233</v>
      </c>
      <c r="B369" s="2" t="str">
        <f t="shared" si="24"/>
        <v>Mi</v>
      </c>
      <c r="C369" s="4">
        <f t="shared" si="26"/>
        <v>46134</v>
      </c>
      <c r="D369" s="43"/>
      <c r="E369" s="3"/>
      <c r="F369" s="2" t="s">
        <v>88</v>
      </c>
      <c r="G369" s="3" t="s">
        <v>53</v>
      </c>
      <c r="H369" s="21"/>
      <c r="I369" s="80"/>
      <c r="J369" s="80"/>
      <c r="K369" s="80"/>
      <c r="L369" s="80"/>
    </row>
    <row r="370" spans="1:12" x14ac:dyDescent="0.2">
      <c r="A370" s="9">
        <f t="shared" si="25"/>
        <v>234</v>
      </c>
      <c r="B370" s="2" t="str">
        <f t="shared" si="24"/>
        <v>Do.</v>
      </c>
      <c r="C370" s="4">
        <f t="shared" si="26"/>
        <v>46135</v>
      </c>
      <c r="D370" s="43"/>
      <c r="E370" s="3"/>
      <c r="F370" s="2" t="s">
        <v>88</v>
      </c>
      <c r="G370" s="3" t="s">
        <v>53</v>
      </c>
      <c r="H370" s="21"/>
      <c r="I370" s="80"/>
      <c r="J370" s="80"/>
      <c r="K370" s="80"/>
      <c r="L370" s="80"/>
    </row>
    <row r="371" spans="1:12" x14ac:dyDescent="0.2">
      <c r="A371" s="9">
        <f t="shared" si="25"/>
        <v>235</v>
      </c>
      <c r="B371" s="2" t="str">
        <f t="shared" si="24"/>
        <v>Fr.</v>
      </c>
      <c r="C371" s="4">
        <f t="shared" si="26"/>
        <v>46136</v>
      </c>
      <c r="D371" s="43"/>
      <c r="E371" s="3"/>
      <c r="F371" s="2" t="s">
        <v>88</v>
      </c>
      <c r="G371" s="3" t="s">
        <v>53</v>
      </c>
      <c r="H371" s="21"/>
      <c r="I371" s="80"/>
      <c r="J371" s="80"/>
      <c r="K371" s="80"/>
      <c r="L371" s="80"/>
    </row>
    <row r="372" spans="1:12" x14ac:dyDescent="0.2">
      <c r="A372" s="9">
        <f t="shared" si="25"/>
        <v>236</v>
      </c>
      <c r="B372" s="2" t="str">
        <f t="shared" si="24"/>
        <v>Sa.</v>
      </c>
      <c r="C372" s="4">
        <f t="shared" si="26"/>
        <v>46137</v>
      </c>
      <c r="D372" s="43"/>
      <c r="E372" s="3"/>
      <c r="F372" s="2" t="s">
        <v>88</v>
      </c>
      <c r="G372" s="3" t="s">
        <v>53</v>
      </c>
      <c r="H372" s="21"/>
      <c r="I372" s="80"/>
      <c r="J372" s="80"/>
      <c r="K372" s="80"/>
      <c r="L372" s="80"/>
    </row>
    <row r="373" spans="1:12" x14ac:dyDescent="0.2">
      <c r="A373" s="9">
        <f t="shared" si="25"/>
        <v>237</v>
      </c>
      <c r="B373" s="2" t="str">
        <f t="shared" si="24"/>
        <v>So</v>
      </c>
      <c r="C373" s="4">
        <f t="shared" si="26"/>
        <v>46138</v>
      </c>
      <c r="D373" s="43"/>
      <c r="E373" s="3"/>
      <c r="F373" s="2" t="s">
        <v>88</v>
      </c>
      <c r="G373" s="3" t="s">
        <v>53</v>
      </c>
      <c r="H373" s="21"/>
      <c r="I373" s="80"/>
      <c r="J373" s="80"/>
      <c r="K373" s="80"/>
      <c r="L373" s="80"/>
    </row>
    <row r="374" spans="1:12" x14ac:dyDescent="0.2">
      <c r="A374" s="9">
        <f t="shared" si="25"/>
        <v>238</v>
      </c>
      <c r="B374" s="2" t="str">
        <f t="shared" si="24"/>
        <v>Mo</v>
      </c>
      <c r="C374" s="4">
        <f t="shared" si="26"/>
        <v>46139</v>
      </c>
      <c r="D374" s="43"/>
      <c r="E374" s="3"/>
      <c r="F374" s="2" t="s">
        <v>88</v>
      </c>
      <c r="G374" s="3" t="s">
        <v>53</v>
      </c>
      <c r="H374" s="21"/>
      <c r="I374" s="80"/>
      <c r="J374" s="80"/>
      <c r="K374" s="80"/>
      <c r="L374" s="80"/>
    </row>
    <row r="375" spans="1:12" x14ac:dyDescent="0.2">
      <c r="A375" s="9">
        <f t="shared" si="25"/>
        <v>239</v>
      </c>
      <c r="B375" s="2" t="str">
        <f t="shared" si="24"/>
        <v>Di</v>
      </c>
      <c r="C375" s="4">
        <f t="shared" si="26"/>
        <v>46140</v>
      </c>
      <c r="D375" s="43"/>
      <c r="E375" s="3"/>
      <c r="F375" s="2" t="s">
        <v>88</v>
      </c>
      <c r="G375" s="3" t="s">
        <v>53</v>
      </c>
      <c r="H375" s="21"/>
      <c r="I375" s="80"/>
      <c r="J375" s="80"/>
      <c r="K375" s="80"/>
      <c r="L375" s="80"/>
    </row>
    <row r="376" spans="1:12" x14ac:dyDescent="0.2">
      <c r="A376" s="9">
        <f t="shared" si="25"/>
        <v>240</v>
      </c>
      <c r="B376" s="2" t="str">
        <f t="shared" si="24"/>
        <v>Mi</v>
      </c>
      <c r="C376" s="4">
        <f t="shared" si="26"/>
        <v>46141</v>
      </c>
      <c r="D376" s="43"/>
      <c r="E376" s="3"/>
      <c r="F376" s="2" t="s">
        <v>88</v>
      </c>
      <c r="G376" s="3" t="s">
        <v>53</v>
      </c>
      <c r="H376" s="21"/>
      <c r="I376" s="80"/>
      <c r="J376" s="80"/>
      <c r="K376" s="80"/>
      <c r="L376" s="80"/>
    </row>
    <row r="377" spans="1:12" x14ac:dyDescent="0.2">
      <c r="A377" s="9">
        <f t="shared" si="25"/>
        <v>241</v>
      </c>
      <c r="B377" s="2" t="str">
        <f t="shared" si="24"/>
        <v>Do.</v>
      </c>
      <c r="C377" s="4">
        <f t="shared" si="26"/>
        <v>46142</v>
      </c>
      <c r="D377" s="43"/>
      <c r="E377" s="3"/>
      <c r="F377" s="2" t="s">
        <v>88</v>
      </c>
      <c r="G377" s="3" t="s">
        <v>53</v>
      </c>
      <c r="H377" s="21"/>
      <c r="I377" s="80"/>
      <c r="J377" s="80"/>
      <c r="K377" s="80"/>
      <c r="L377" s="80"/>
    </row>
    <row r="378" spans="1:12" x14ac:dyDescent="0.2">
      <c r="A378" s="9">
        <f t="shared" si="25"/>
        <v>242</v>
      </c>
      <c r="B378" s="2" t="str">
        <f t="shared" si="24"/>
        <v>Fr.</v>
      </c>
      <c r="C378" s="4">
        <f t="shared" si="26"/>
        <v>46143</v>
      </c>
      <c r="D378" s="43"/>
      <c r="E378" s="3"/>
      <c r="F378" s="2" t="s">
        <v>88</v>
      </c>
      <c r="G378" s="3" t="s">
        <v>53</v>
      </c>
      <c r="H378" s="21"/>
      <c r="I378" s="80"/>
      <c r="J378" s="80"/>
      <c r="K378" s="80"/>
      <c r="L378" s="80"/>
    </row>
    <row r="379" spans="1:12" x14ac:dyDescent="0.2">
      <c r="A379" s="9">
        <f t="shared" si="25"/>
        <v>243</v>
      </c>
      <c r="B379" s="2" t="str">
        <f t="shared" si="24"/>
        <v>Sa.</v>
      </c>
      <c r="C379" s="4">
        <f t="shared" si="26"/>
        <v>46144</v>
      </c>
      <c r="D379" s="43"/>
      <c r="E379" s="3"/>
      <c r="F379" s="2" t="s">
        <v>88</v>
      </c>
      <c r="G379" s="3" t="s">
        <v>53</v>
      </c>
      <c r="H379" s="21"/>
      <c r="I379" s="80"/>
      <c r="J379" s="80"/>
      <c r="K379" s="80"/>
      <c r="L379" s="80"/>
    </row>
    <row r="380" spans="1:12" x14ac:dyDescent="0.2">
      <c r="A380" s="9">
        <f t="shared" si="25"/>
        <v>244</v>
      </c>
      <c r="B380" s="2" t="str">
        <f t="shared" si="24"/>
        <v>So</v>
      </c>
      <c r="C380" s="4">
        <f t="shared" si="26"/>
        <v>46145</v>
      </c>
      <c r="D380" s="43"/>
      <c r="E380" s="3"/>
      <c r="F380" s="2" t="s">
        <v>88</v>
      </c>
      <c r="G380" s="3" t="s">
        <v>53</v>
      </c>
      <c r="H380" s="21"/>
      <c r="I380" s="80"/>
      <c r="J380" s="80"/>
      <c r="K380" s="80"/>
      <c r="L380" s="80"/>
    </row>
    <row r="381" spans="1:12" x14ac:dyDescent="0.2">
      <c r="A381" s="9">
        <f t="shared" si="25"/>
        <v>245</v>
      </c>
      <c r="B381" s="2" t="str">
        <f t="shared" si="24"/>
        <v>Mo</v>
      </c>
      <c r="C381" s="4">
        <f t="shared" si="26"/>
        <v>46146</v>
      </c>
      <c r="D381" s="43"/>
      <c r="E381" s="3"/>
      <c r="F381" s="2" t="s">
        <v>88</v>
      </c>
      <c r="G381" s="3" t="s">
        <v>53</v>
      </c>
      <c r="H381" s="21"/>
      <c r="I381" s="80"/>
      <c r="J381" s="80"/>
      <c r="K381" s="80"/>
      <c r="L381" s="80"/>
    </row>
    <row r="382" spans="1:12" x14ac:dyDescent="0.2">
      <c r="A382" s="9">
        <f t="shared" si="25"/>
        <v>246</v>
      </c>
      <c r="B382" s="2" t="str">
        <f t="shared" si="24"/>
        <v>Di</v>
      </c>
      <c r="C382" s="4">
        <f t="shared" si="26"/>
        <v>46147</v>
      </c>
      <c r="D382" s="43"/>
      <c r="E382" s="3"/>
      <c r="F382" s="2" t="s">
        <v>88</v>
      </c>
      <c r="G382" s="3" t="s">
        <v>53</v>
      </c>
      <c r="H382" s="21"/>
      <c r="I382" s="80"/>
      <c r="J382" s="80"/>
      <c r="K382" s="80"/>
      <c r="L382" s="80"/>
    </row>
    <row r="383" spans="1:12" x14ac:dyDescent="0.2">
      <c r="A383" s="9">
        <f t="shared" si="25"/>
        <v>247</v>
      </c>
      <c r="B383" s="2" t="str">
        <f t="shared" si="24"/>
        <v>Mi</v>
      </c>
      <c r="C383" s="4">
        <f t="shared" si="26"/>
        <v>46148</v>
      </c>
      <c r="D383" s="43"/>
      <c r="E383" s="45"/>
      <c r="F383" s="2" t="s">
        <v>88</v>
      </c>
      <c r="G383" s="3" t="s">
        <v>53</v>
      </c>
      <c r="H383" s="21"/>
      <c r="I383" s="80"/>
      <c r="J383" s="80"/>
      <c r="K383" s="80"/>
      <c r="L383" s="80"/>
    </row>
    <row r="384" spans="1:12" x14ac:dyDescent="0.2">
      <c r="A384" s="9">
        <f t="shared" si="25"/>
        <v>248</v>
      </c>
      <c r="B384" s="2" t="str">
        <f t="shared" si="24"/>
        <v>Do.</v>
      </c>
      <c r="C384" s="4">
        <f t="shared" si="26"/>
        <v>46149</v>
      </c>
      <c r="D384" s="43"/>
      <c r="E384" s="45"/>
      <c r="F384" s="2" t="s">
        <v>88</v>
      </c>
      <c r="G384" s="3" t="s">
        <v>53</v>
      </c>
      <c r="H384" s="21"/>
      <c r="I384" s="80"/>
      <c r="J384" s="80"/>
      <c r="K384" s="80"/>
      <c r="L384" s="80"/>
    </row>
    <row r="385" spans="1:27" x14ac:dyDescent="0.2">
      <c r="A385" s="9">
        <f t="shared" si="25"/>
        <v>249</v>
      </c>
      <c r="B385" s="2" t="str">
        <f t="shared" si="24"/>
        <v>Fr.</v>
      </c>
      <c r="C385" s="4">
        <f t="shared" si="26"/>
        <v>46150</v>
      </c>
      <c r="D385" s="43"/>
      <c r="E385" s="3"/>
      <c r="F385" s="2" t="s">
        <v>88</v>
      </c>
      <c r="G385" s="3" t="s">
        <v>53</v>
      </c>
      <c r="H385" s="21"/>
      <c r="I385" s="80"/>
      <c r="J385" s="80"/>
      <c r="K385" s="80"/>
      <c r="L385" s="80"/>
    </row>
    <row r="386" spans="1:27" x14ac:dyDescent="0.2">
      <c r="A386" s="9">
        <f t="shared" si="25"/>
        <v>250</v>
      </c>
      <c r="B386" s="2" t="str">
        <f t="shared" si="24"/>
        <v>Sa.</v>
      </c>
      <c r="C386" s="4">
        <f t="shared" si="26"/>
        <v>46151</v>
      </c>
      <c r="D386" s="43"/>
      <c r="E386" s="3"/>
      <c r="F386" s="2" t="s">
        <v>88</v>
      </c>
      <c r="G386" s="3" t="s">
        <v>53</v>
      </c>
      <c r="H386" s="21"/>
      <c r="I386" s="80"/>
      <c r="J386" s="80"/>
      <c r="K386" s="80"/>
      <c r="L386" s="80"/>
    </row>
    <row r="387" spans="1:27" ht="15" thickBot="1" x14ac:dyDescent="0.25">
      <c r="A387" s="10">
        <f>A386+1</f>
        <v>251</v>
      </c>
      <c r="B387" s="11" t="str">
        <f t="shared" si="24"/>
        <v>So</v>
      </c>
      <c r="C387" s="12">
        <f t="shared" si="26"/>
        <v>46152</v>
      </c>
      <c r="D387" s="44"/>
      <c r="E387" s="13"/>
      <c r="F387" s="11" t="s">
        <v>88</v>
      </c>
      <c r="G387" s="13" t="s">
        <v>53</v>
      </c>
      <c r="H387" s="22"/>
      <c r="I387" s="80"/>
      <c r="J387" s="80"/>
      <c r="K387" s="80"/>
      <c r="L387" s="80"/>
      <c r="N387" s="47"/>
      <c r="O387" s="48" t="s">
        <v>109</v>
      </c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spans="1:27" x14ac:dyDescent="0.2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N388" s="46"/>
      <c r="O388" s="1" t="s">
        <v>104</v>
      </c>
    </row>
    <row r="389" spans="1:27" x14ac:dyDescent="0.2">
      <c r="A389" s="99" t="str">
        <f>Student_Name</f>
        <v>Dirnberger</v>
      </c>
      <c r="B389" s="99"/>
      <c r="C389" s="99"/>
      <c r="D389" s="99"/>
      <c r="E389" s="99"/>
      <c r="F389" s="99"/>
      <c r="G389" s="26"/>
      <c r="H389" s="27" t="str">
        <f>Ausbildungsbetrieb_Unternehmen</f>
        <v>Continental Automotiv Technologies GmbH</v>
      </c>
      <c r="I389" s="26"/>
      <c r="J389" s="26"/>
      <c r="K389" s="26"/>
      <c r="L389" s="26"/>
    </row>
    <row r="390" spans="1:27" x14ac:dyDescent="0.2">
      <c r="A390" s="28" t="s">
        <v>31</v>
      </c>
      <c r="B390" s="28"/>
      <c r="C390" s="28"/>
      <c r="D390" s="28"/>
      <c r="E390" s="28"/>
      <c r="F390" s="28"/>
      <c r="G390" s="28"/>
      <c r="H390" s="28" t="s">
        <v>32</v>
      </c>
      <c r="I390" s="28"/>
      <c r="J390" s="28"/>
      <c r="K390" s="28"/>
      <c r="L390" s="28"/>
    </row>
    <row r="391" spans="1:27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27" x14ac:dyDescent="0.2">
      <c r="A392" s="99" t="str">
        <f>Student_Vorname</f>
        <v>Hubert</v>
      </c>
      <c r="B392" s="99"/>
      <c r="C392" s="99"/>
      <c r="D392" s="99"/>
      <c r="E392" s="99"/>
      <c r="F392" s="99"/>
      <c r="G392" s="26"/>
      <c r="H392" s="27" t="str">
        <f>CONCATENATE(Ausbildungsbetrieb_Vorname, " ", Ausbildungsbetrieb_Name)</f>
        <v>Christian Ruppel</v>
      </c>
      <c r="I392" s="26"/>
      <c r="J392" s="26"/>
      <c r="K392" s="26"/>
      <c r="L392" s="26"/>
    </row>
    <row r="393" spans="1:27" x14ac:dyDescent="0.2">
      <c r="A393" s="28" t="s">
        <v>34</v>
      </c>
      <c r="B393" s="28"/>
      <c r="C393" s="28"/>
      <c r="D393" s="28"/>
      <c r="E393" s="28"/>
      <c r="F393" s="28"/>
      <c r="G393" s="28"/>
      <c r="H393" s="28" t="s">
        <v>78</v>
      </c>
      <c r="I393" s="28"/>
      <c r="J393" s="28"/>
      <c r="K393" s="28"/>
      <c r="L393" s="28"/>
    </row>
    <row r="394" spans="1:27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27" x14ac:dyDescent="0.2">
      <c r="A395" s="99" t="str">
        <f>Student_Studiengruppe</f>
        <v>MB8</v>
      </c>
      <c r="B395" s="99"/>
      <c r="C395" s="99"/>
      <c r="D395" s="99"/>
      <c r="E395" s="99"/>
      <c r="F395" s="99"/>
      <c r="G395" s="26"/>
      <c r="H395" s="27" t="str">
        <f>Ausbildungsbetrieb_Email</f>
        <v>christian.ruppel@continental-corporaion.com</v>
      </c>
      <c r="I395" s="26"/>
      <c r="J395" s="26"/>
      <c r="K395" s="26"/>
      <c r="L395" s="26"/>
    </row>
    <row r="396" spans="1:27" x14ac:dyDescent="0.2">
      <c r="A396" s="28" t="s">
        <v>38</v>
      </c>
      <c r="B396" s="28"/>
      <c r="C396" s="28"/>
      <c r="D396" s="28"/>
      <c r="E396" s="28"/>
      <c r="F396" s="28"/>
      <c r="G396" s="28"/>
      <c r="H396" s="28" t="s">
        <v>79</v>
      </c>
      <c r="I396" s="28"/>
      <c r="J396" s="28"/>
      <c r="K396" s="28"/>
      <c r="L396" s="28"/>
    </row>
    <row r="397" spans="1:27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27" x14ac:dyDescent="0.2">
      <c r="A398" s="99">
        <f>Student_Matrikelnummer</f>
        <v>3315035</v>
      </c>
      <c r="B398" s="99"/>
      <c r="C398" s="99"/>
      <c r="D398" s="99"/>
      <c r="E398" s="99"/>
      <c r="F398" s="99"/>
      <c r="G398" s="26"/>
      <c r="H398" s="27" t="str">
        <f>Ausbildungsbetrieb_Telefon</f>
        <v>0499417903612</v>
      </c>
      <c r="I398" s="26"/>
      <c r="J398" s="26"/>
      <c r="K398" s="26"/>
      <c r="L398" s="26"/>
    </row>
    <row r="399" spans="1:27" x14ac:dyDescent="0.2">
      <c r="A399" s="28" t="s">
        <v>41</v>
      </c>
      <c r="B399" s="28"/>
      <c r="C399" s="28"/>
      <c r="D399" s="28"/>
      <c r="E399" s="28"/>
      <c r="F399" s="28"/>
      <c r="G399" s="28"/>
      <c r="H399" s="28" t="s">
        <v>80</v>
      </c>
      <c r="I399" s="28"/>
      <c r="J399" s="28"/>
      <c r="K399" s="28"/>
      <c r="L399" s="28"/>
    </row>
    <row r="400" spans="1:27" ht="15" thickBot="1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</row>
    <row r="401" spans="1:12" x14ac:dyDescent="0.2">
      <c r="A401" s="14"/>
      <c r="B401" s="15"/>
      <c r="C401" s="15"/>
      <c r="D401" s="15"/>
      <c r="E401" s="15" t="s">
        <v>81</v>
      </c>
      <c r="F401" s="15"/>
      <c r="G401" s="15"/>
      <c r="H401" s="16" t="s">
        <v>82</v>
      </c>
      <c r="I401" s="78"/>
      <c r="J401" s="78"/>
      <c r="K401" s="78"/>
      <c r="L401" s="78"/>
    </row>
    <row r="402" spans="1:12" ht="15" thickBot="1" x14ac:dyDescent="0.25">
      <c r="A402" s="104" t="s">
        <v>83</v>
      </c>
      <c r="B402" s="105"/>
      <c r="C402" s="17" t="s">
        <v>84</v>
      </c>
      <c r="D402" s="17"/>
      <c r="E402" s="103" t="s">
        <v>85</v>
      </c>
      <c r="F402" s="103"/>
      <c r="G402" s="18"/>
      <c r="H402" s="19" t="s">
        <v>86</v>
      </c>
      <c r="I402" s="78"/>
      <c r="J402" s="78"/>
      <c r="K402" s="78"/>
      <c r="L402" s="78"/>
    </row>
    <row r="403" spans="1:12" x14ac:dyDescent="0.2">
      <c r="A403" s="5">
        <f>A387+1</f>
        <v>252</v>
      </c>
      <c r="B403" s="6" t="str">
        <f>IF(WEEKDAY(C403,2)=1,"Mo",IF(WEEKDAY(C403,2)=2,"Di",IF(WEEKDAY(C403,2)=3,"Mi",IF(WEEKDAY(C403,2)=4,"Do.",IF(WEEKDAY(C403,2)=5,"Fr.",IF(WEEKDAY(C403,2)=6,"Sa.","So"))))))</f>
        <v>Mo</v>
      </c>
      <c r="C403" s="7">
        <f>C387+1</f>
        <v>46153</v>
      </c>
      <c r="D403" s="42"/>
      <c r="E403" s="8"/>
      <c r="F403" s="6" t="s">
        <v>88</v>
      </c>
      <c r="G403" s="8" t="s">
        <v>53</v>
      </c>
      <c r="H403" s="20"/>
      <c r="I403" s="80"/>
      <c r="J403" s="80"/>
      <c r="K403" s="80"/>
      <c r="L403" s="80"/>
    </row>
    <row r="404" spans="1:12" x14ac:dyDescent="0.2">
      <c r="A404" s="9">
        <f>A403+1</f>
        <v>253</v>
      </c>
      <c r="B404" s="2" t="str">
        <f t="shared" ref="B404:B430" si="27">IF(WEEKDAY(C404,2)=1,"Mo",IF(WEEKDAY(C404,2)=2,"Di",IF(WEEKDAY(C404,2)=3,"Mi",IF(WEEKDAY(C404,2)=4,"Do.",IF(WEEKDAY(C404,2)=5,"Fr.",IF(WEEKDAY(C404,2)=6,"Sa.","So"))))))</f>
        <v>Di</v>
      </c>
      <c r="C404" s="4">
        <f>C403+1</f>
        <v>46154</v>
      </c>
      <c r="D404" s="43"/>
      <c r="E404" s="3"/>
      <c r="F404" s="2" t="s">
        <v>88</v>
      </c>
      <c r="G404" s="3" t="s">
        <v>53</v>
      </c>
      <c r="H404" s="21"/>
      <c r="I404" s="80"/>
      <c r="J404" s="80"/>
      <c r="K404" s="80"/>
      <c r="L404" s="80"/>
    </row>
    <row r="405" spans="1:12" x14ac:dyDescent="0.2">
      <c r="A405" s="9">
        <f t="shared" ref="A405:A429" si="28">A404+1</f>
        <v>254</v>
      </c>
      <c r="B405" s="2" t="str">
        <f t="shared" si="27"/>
        <v>Mi</v>
      </c>
      <c r="C405" s="4">
        <f t="shared" ref="C405:C430" si="29">C404+1</f>
        <v>46155</v>
      </c>
      <c r="D405" s="43"/>
      <c r="E405" s="3"/>
      <c r="F405" s="2" t="s">
        <v>88</v>
      </c>
      <c r="G405" s="3" t="s">
        <v>53</v>
      </c>
      <c r="H405" s="21"/>
      <c r="I405" s="80"/>
      <c r="J405" s="80"/>
      <c r="K405" s="80"/>
      <c r="L405" s="80"/>
    </row>
    <row r="406" spans="1:12" x14ac:dyDescent="0.2">
      <c r="A406" s="9">
        <f t="shared" si="28"/>
        <v>255</v>
      </c>
      <c r="B406" s="2" t="str">
        <f t="shared" si="27"/>
        <v>Do.</v>
      </c>
      <c r="C406" s="4">
        <f t="shared" si="29"/>
        <v>46156</v>
      </c>
      <c r="D406" s="43"/>
      <c r="E406" s="3"/>
      <c r="F406" s="2" t="s">
        <v>88</v>
      </c>
      <c r="G406" s="3" t="s">
        <v>53</v>
      </c>
      <c r="H406" s="21"/>
      <c r="I406" s="80"/>
      <c r="J406" s="80"/>
      <c r="K406" s="80"/>
      <c r="L406" s="80"/>
    </row>
    <row r="407" spans="1:12" x14ac:dyDescent="0.2">
      <c r="A407" s="9">
        <f t="shared" si="28"/>
        <v>256</v>
      </c>
      <c r="B407" s="2" t="str">
        <f t="shared" si="27"/>
        <v>Fr.</v>
      </c>
      <c r="C407" s="4">
        <f t="shared" si="29"/>
        <v>46157</v>
      </c>
      <c r="D407" s="43"/>
      <c r="E407" s="3"/>
      <c r="F407" s="2" t="s">
        <v>88</v>
      </c>
      <c r="G407" s="3" t="s">
        <v>53</v>
      </c>
      <c r="H407" s="21"/>
      <c r="I407" s="80"/>
      <c r="J407" s="80"/>
      <c r="K407" s="80"/>
      <c r="L407" s="80"/>
    </row>
    <row r="408" spans="1:12" x14ac:dyDescent="0.2">
      <c r="A408" s="9">
        <f t="shared" si="28"/>
        <v>257</v>
      </c>
      <c r="B408" s="2" t="str">
        <f t="shared" si="27"/>
        <v>Sa.</v>
      </c>
      <c r="C408" s="4">
        <f t="shared" si="29"/>
        <v>46158</v>
      </c>
      <c r="D408" s="43"/>
      <c r="E408" s="3"/>
      <c r="F408" s="2" t="s">
        <v>88</v>
      </c>
      <c r="G408" s="3" t="s">
        <v>53</v>
      </c>
      <c r="H408" s="21"/>
      <c r="I408" s="80"/>
      <c r="J408" s="80"/>
      <c r="K408" s="80"/>
      <c r="L408" s="80"/>
    </row>
    <row r="409" spans="1:12" x14ac:dyDescent="0.2">
      <c r="A409" s="9">
        <f t="shared" si="28"/>
        <v>258</v>
      </c>
      <c r="B409" s="2" t="str">
        <f t="shared" si="27"/>
        <v>So</v>
      </c>
      <c r="C409" s="4">
        <f t="shared" si="29"/>
        <v>46159</v>
      </c>
      <c r="D409" s="43"/>
      <c r="E409" s="3"/>
      <c r="F409" s="2" t="s">
        <v>88</v>
      </c>
      <c r="G409" s="3" t="s">
        <v>53</v>
      </c>
      <c r="H409" s="21"/>
      <c r="I409" s="80"/>
      <c r="J409" s="80"/>
      <c r="K409" s="80"/>
      <c r="L409" s="80"/>
    </row>
    <row r="410" spans="1:12" x14ac:dyDescent="0.2">
      <c r="A410" s="9">
        <f t="shared" si="28"/>
        <v>259</v>
      </c>
      <c r="B410" s="2" t="str">
        <f t="shared" si="27"/>
        <v>Mo</v>
      </c>
      <c r="C410" s="4">
        <f t="shared" si="29"/>
        <v>46160</v>
      </c>
      <c r="D410" s="43"/>
      <c r="E410" s="3"/>
      <c r="F410" s="2" t="s">
        <v>88</v>
      </c>
      <c r="G410" s="3" t="s">
        <v>53</v>
      </c>
      <c r="H410" s="21"/>
      <c r="I410" s="80"/>
      <c r="J410" s="80"/>
      <c r="K410" s="80"/>
      <c r="L410" s="80"/>
    </row>
    <row r="411" spans="1:12" x14ac:dyDescent="0.2">
      <c r="A411" s="9">
        <f t="shared" si="28"/>
        <v>260</v>
      </c>
      <c r="B411" s="2" t="str">
        <f t="shared" si="27"/>
        <v>Di</v>
      </c>
      <c r="C411" s="4">
        <f t="shared" si="29"/>
        <v>46161</v>
      </c>
      <c r="D411" s="43"/>
      <c r="E411" s="3"/>
      <c r="F411" s="2" t="s">
        <v>88</v>
      </c>
      <c r="G411" s="3" t="s">
        <v>53</v>
      </c>
      <c r="H411" s="21"/>
      <c r="I411" s="80"/>
      <c r="J411" s="80"/>
      <c r="K411" s="80"/>
      <c r="L411" s="80"/>
    </row>
    <row r="412" spans="1:12" x14ac:dyDescent="0.2">
      <c r="A412" s="9">
        <f t="shared" si="28"/>
        <v>261</v>
      </c>
      <c r="B412" s="2" t="str">
        <f t="shared" si="27"/>
        <v>Mi</v>
      </c>
      <c r="C412" s="4">
        <f t="shared" si="29"/>
        <v>46162</v>
      </c>
      <c r="D412" s="43"/>
      <c r="E412" s="3"/>
      <c r="F412" s="2" t="s">
        <v>88</v>
      </c>
      <c r="G412" s="3" t="s">
        <v>53</v>
      </c>
      <c r="H412" s="21"/>
      <c r="I412" s="80"/>
      <c r="J412" s="80"/>
      <c r="K412" s="80"/>
      <c r="L412" s="80"/>
    </row>
    <row r="413" spans="1:12" x14ac:dyDescent="0.2">
      <c r="A413" s="9">
        <f t="shared" si="28"/>
        <v>262</v>
      </c>
      <c r="B413" s="2" t="str">
        <f t="shared" si="27"/>
        <v>Do.</v>
      </c>
      <c r="C413" s="4">
        <f t="shared" si="29"/>
        <v>46163</v>
      </c>
      <c r="D413" s="43"/>
      <c r="E413" s="3"/>
      <c r="F413" s="2" t="s">
        <v>88</v>
      </c>
      <c r="G413" s="3" t="s">
        <v>53</v>
      </c>
      <c r="H413" s="21"/>
      <c r="I413" s="80"/>
      <c r="J413" s="80"/>
      <c r="K413" s="80"/>
      <c r="L413" s="80"/>
    </row>
    <row r="414" spans="1:12" x14ac:dyDescent="0.2">
      <c r="A414" s="9">
        <f t="shared" si="28"/>
        <v>263</v>
      </c>
      <c r="B414" s="2" t="str">
        <f t="shared" si="27"/>
        <v>Fr.</v>
      </c>
      <c r="C414" s="4">
        <f t="shared" si="29"/>
        <v>46164</v>
      </c>
      <c r="D414" s="43"/>
      <c r="E414" s="3"/>
      <c r="F414" s="2" t="s">
        <v>88</v>
      </c>
      <c r="G414" s="3" t="s">
        <v>53</v>
      </c>
      <c r="H414" s="21"/>
      <c r="I414" s="80"/>
      <c r="J414" s="80"/>
      <c r="K414" s="80"/>
      <c r="L414" s="80"/>
    </row>
    <row r="415" spans="1:12" x14ac:dyDescent="0.2">
      <c r="A415" s="9">
        <f t="shared" si="28"/>
        <v>264</v>
      </c>
      <c r="B415" s="2" t="str">
        <f t="shared" si="27"/>
        <v>Sa.</v>
      </c>
      <c r="C415" s="4">
        <f t="shared" si="29"/>
        <v>46165</v>
      </c>
      <c r="D415" s="43"/>
      <c r="E415" s="3"/>
      <c r="F415" s="2" t="s">
        <v>88</v>
      </c>
      <c r="G415" s="3" t="s">
        <v>53</v>
      </c>
      <c r="H415" s="21"/>
      <c r="I415" s="80"/>
      <c r="J415" s="80"/>
      <c r="K415" s="80"/>
      <c r="L415" s="80"/>
    </row>
    <row r="416" spans="1:12" x14ac:dyDescent="0.2">
      <c r="A416" s="9">
        <f t="shared" si="28"/>
        <v>265</v>
      </c>
      <c r="B416" s="2" t="str">
        <f t="shared" si="27"/>
        <v>So</v>
      </c>
      <c r="C416" s="4">
        <f t="shared" si="29"/>
        <v>46166</v>
      </c>
      <c r="D416" s="43"/>
      <c r="E416" s="3"/>
      <c r="F416" s="2" t="s">
        <v>88</v>
      </c>
      <c r="G416" s="3" t="s">
        <v>53</v>
      </c>
      <c r="H416" s="21"/>
      <c r="I416" s="80"/>
      <c r="J416" s="80"/>
      <c r="K416" s="80"/>
      <c r="L416" s="80"/>
    </row>
    <row r="417" spans="1:27" x14ac:dyDescent="0.2">
      <c r="A417" s="9">
        <f t="shared" si="28"/>
        <v>266</v>
      </c>
      <c r="B417" s="2" t="str">
        <f t="shared" si="27"/>
        <v>Mo</v>
      </c>
      <c r="C417" s="4">
        <f t="shared" si="29"/>
        <v>46167</v>
      </c>
      <c r="D417" s="43"/>
      <c r="E417" s="3"/>
      <c r="F417" s="2" t="s">
        <v>88</v>
      </c>
      <c r="G417" s="3" t="s">
        <v>53</v>
      </c>
      <c r="H417" s="21"/>
      <c r="I417" s="80"/>
      <c r="J417" s="80"/>
      <c r="K417" s="80"/>
      <c r="L417" s="80"/>
    </row>
    <row r="418" spans="1:27" x14ac:dyDescent="0.2">
      <c r="A418" s="9">
        <f t="shared" si="28"/>
        <v>267</v>
      </c>
      <c r="B418" s="2" t="str">
        <f t="shared" si="27"/>
        <v>Di</v>
      </c>
      <c r="C418" s="4">
        <f t="shared" si="29"/>
        <v>46168</v>
      </c>
      <c r="D418" s="43"/>
      <c r="E418" s="3"/>
      <c r="F418" s="2" t="s">
        <v>88</v>
      </c>
      <c r="G418" s="3" t="s">
        <v>53</v>
      </c>
      <c r="H418" s="21"/>
      <c r="I418" s="80"/>
      <c r="J418" s="80"/>
      <c r="K418" s="80"/>
      <c r="L418" s="80"/>
    </row>
    <row r="419" spans="1:27" x14ac:dyDescent="0.2">
      <c r="A419" s="9">
        <f t="shared" si="28"/>
        <v>268</v>
      </c>
      <c r="B419" s="2" t="str">
        <f t="shared" si="27"/>
        <v>Mi</v>
      </c>
      <c r="C419" s="4">
        <f t="shared" si="29"/>
        <v>46169</v>
      </c>
      <c r="D419" s="43"/>
      <c r="E419" s="3"/>
      <c r="F419" s="2" t="s">
        <v>88</v>
      </c>
      <c r="G419" s="3" t="s">
        <v>53</v>
      </c>
      <c r="H419" s="21"/>
      <c r="I419" s="80"/>
      <c r="J419" s="80"/>
      <c r="K419" s="80"/>
      <c r="L419" s="80"/>
    </row>
    <row r="420" spans="1:27" x14ac:dyDescent="0.2">
      <c r="A420" s="9">
        <f t="shared" si="28"/>
        <v>269</v>
      </c>
      <c r="B420" s="2" t="str">
        <f t="shared" si="27"/>
        <v>Do.</v>
      </c>
      <c r="C420" s="4">
        <f t="shared" si="29"/>
        <v>46170</v>
      </c>
      <c r="D420" s="43"/>
      <c r="E420" s="3"/>
      <c r="F420" s="2" t="s">
        <v>88</v>
      </c>
      <c r="G420" s="3" t="s">
        <v>53</v>
      </c>
      <c r="H420" s="21"/>
      <c r="I420" s="80"/>
      <c r="J420" s="80"/>
      <c r="K420" s="80"/>
      <c r="L420" s="80"/>
    </row>
    <row r="421" spans="1:27" x14ac:dyDescent="0.2">
      <c r="A421" s="9">
        <f t="shared" si="28"/>
        <v>270</v>
      </c>
      <c r="B421" s="2" t="str">
        <f t="shared" si="27"/>
        <v>Fr.</v>
      </c>
      <c r="C421" s="4">
        <f t="shared" si="29"/>
        <v>46171</v>
      </c>
      <c r="D421" s="43"/>
      <c r="E421" s="3"/>
      <c r="F421" s="2" t="s">
        <v>88</v>
      </c>
      <c r="G421" s="3" t="s">
        <v>53</v>
      </c>
      <c r="H421" s="21"/>
      <c r="I421" s="80"/>
      <c r="J421" s="80"/>
      <c r="K421" s="80"/>
      <c r="L421" s="80"/>
    </row>
    <row r="422" spans="1:27" x14ac:dyDescent="0.2">
      <c r="A422" s="9">
        <f t="shared" si="28"/>
        <v>271</v>
      </c>
      <c r="B422" s="2" t="str">
        <f t="shared" si="27"/>
        <v>Sa.</v>
      </c>
      <c r="C422" s="4">
        <f t="shared" si="29"/>
        <v>46172</v>
      </c>
      <c r="D422" s="43"/>
      <c r="E422" s="3"/>
      <c r="F422" s="2" t="s">
        <v>88</v>
      </c>
      <c r="G422" s="3" t="s">
        <v>53</v>
      </c>
      <c r="H422" s="21"/>
      <c r="I422" s="80"/>
      <c r="J422" s="80"/>
      <c r="K422" s="80"/>
      <c r="L422" s="80"/>
    </row>
    <row r="423" spans="1:27" x14ac:dyDescent="0.2">
      <c r="A423" s="9">
        <f t="shared" si="28"/>
        <v>272</v>
      </c>
      <c r="B423" s="2" t="str">
        <f t="shared" si="27"/>
        <v>So</v>
      </c>
      <c r="C423" s="4">
        <f t="shared" si="29"/>
        <v>46173</v>
      </c>
      <c r="D423" s="43"/>
      <c r="E423" s="3"/>
      <c r="F423" s="2" t="s">
        <v>88</v>
      </c>
      <c r="G423" s="3" t="s">
        <v>53</v>
      </c>
      <c r="H423" s="21"/>
      <c r="I423" s="80"/>
      <c r="J423" s="80"/>
      <c r="K423" s="80"/>
      <c r="L423" s="80"/>
    </row>
    <row r="424" spans="1:27" x14ac:dyDescent="0.2">
      <c r="A424" s="9">
        <f t="shared" si="28"/>
        <v>273</v>
      </c>
      <c r="B424" s="2" t="str">
        <f t="shared" si="27"/>
        <v>Mo</v>
      </c>
      <c r="C424" s="4">
        <f t="shared" si="29"/>
        <v>46174</v>
      </c>
      <c r="D424" s="43"/>
      <c r="E424" s="3"/>
      <c r="F424" s="2" t="s">
        <v>88</v>
      </c>
      <c r="G424" s="3" t="s">
        <v>53</v>
      </c>
      <c r="H424" s="21"/>
      <c r="I424" s="80"/>
      <c r="J424" s="80"/>
      <c r="K424" s="80"/>
      <c r="L424" s="80"/>
    </row>
    <row r="425" spans="1:27" x14ac:dyDescent="0.2">
      <c r="A425" s="9">
        <f t="shared" si="28"/>
        <v>274</v>
      </c>
      <c r="B425" s="2" t="str">
        <f t="shared" si="27"/>
        <v>Di</v>
      </c>
      <c r="C425" s="4">
        <f t="shared" si="29"/>
        <v>46175</v>
      </c>
      <c r="D425" s="43"/>
      <c r="E425" s="3"/>
      <c r="F425" s="2" t="s">
        <v>88</v>
      </c>
      <c r="G425" s="3" t="s">
        <v>53</v>
      </c>
      <c r="H425" s="21"/>
      <c r="I425" s="80"/>
      <c r="J425" s="80"/>
      <c r="K425" s="80"/>
      <c r="L425" s="80"/>
    </row>
    <row r="426" spans="1:27" x14ac:dyDescent="0.2">
      <c r="A426" s="9">
        <f t="shared" si="28"/>
        <v>275</v>
      </c>
      <c r="B426" s="2" t="str">
        <f t="shared" si="27"/>
        <v>Mi</v>
      </c>
      <c r="C426" s="4">
        <f t="shared" si="29"/>
        <v>46176</v>
      </c>
      <c r="D426" s="43"/>
      <c r="E426" s="45"/>
      <c r="F426" s="2" t="s">
        <v>88</v>
      </c>
      <c r="G426" s="3" t="s">
        <v>53</v>
      </c>
      <c r="H426" s="21"/>
      <c r="I426" s="80"/>
      <c r="J426" s="80"/>
      <c r="K426" s="80"/>
      <c r="L426" s="80"/>
    </row>
    <row r="427" spans="1:27" x14ac:dyDescent="0.2">
      <c r="A427" s="9">
        <f t="shared" si="28"/>
        <v>276</v>
      </c>
      <c r="B427" s="2" t="str">
        <f t="shared" si="27"/>
        <v>Do.</v>
      </c>
      <c r="C427" s="4">
        <f t="shared" si="29"/>
        <v>46177</v>
      </c>
      <c r="D427" s="43"/>
      <c r="E427" s="45"/>
      <c r="F427" s="2" t="s">
        <v>88</v>
      </c>
      <c r="G427" s="3" t="s">
        <v>53</v>
      </c>
      <c r="H427" s="21"/>
      <c r="I427" s="80"/>
      <c r="J427" s="80"/>
      <c r="K427" s="80"/>
      <c r="L427" s="80"/>
    </row>
    <row r="428" spans="1:27" x14ac:dyDescent="0.2">
      <c r="A428" s="9">
        <f t="shared" si="28"/>
        <v>277</v>
      </c>
      <c r="B428" s="2" t="str">
        <f t="shared" si="27"/>
        <v>Fr.</v>
      </c>
      <c r="C428" s="4">
        <f t="shared" si="29"/>
        <v>46178</v>
      </c>
      <c r="D428" s="43"/>
      <c r="E428" s="3"/>
      <c r="F428" s="2" t="s">
        <v>88</v>
      </c>
      <c r="G428" s="3" t="s">
        <v>53</v>
      </c>
      <c r="H428" s="21"/>
      <c r="I428" s="80"/>
      <c r="J428" s="80"/>
      <c r="K428" s="80"/>
      <c r="L428" s="80"/>
    </row>
    <row r="429" spans="1:27" x14ac:dyDescent="0.2">
      <c r="A429" s="9">
        <f t="shared" si="28"/>
        <v>278</v>
      </c>
      <c r="B429" s="2" t="str">
        <f t="shared" si="27"/>
        <v>Sa.</v>
      </c>
      <c r="C429" s="4">
        <f t="shared" si="29"/>
        <v>46179</v>
      </c>
      <c r="D429" s="43"/>
      <c r="E429" s="3"/>
      <c r="F429" s="2" t="s">
        <v>88</v>
      </c>
      <c r="G429" s="3" t="s">
        <v>53</v>
      </c>
      <c r="H429" s="21"/>
      <c r="I429" s="80"/>
      <c r="J429" s="80"/>
      <c r="K429" s="80"/>
      <c r="L429" s="80"/>
    </row>
    <row r="430" spans="1:27" ht="15" thickBot="1" x14ac:dyDescent="0.25">
      <c r="A430" s="10">
        <f>A429+1</f>
        <v>279</v>
      </c>
      <c r="B430" s="11" t="str">
        <f t="shared" si="27"/>
        <v>So</v>
      </c>
      <c r="C430" s="12">
        <f t="shared" si="29"/>
        <v>46180</v>
      </c>
      <c r="D430" s="44"/>
      <c r="E430" s="13"/>
      <c r="F430" s="11" t="s">
        <v>88</v>
      </c>
      <c r="G430" s="13" t="s">
        <v>53</v>
      </c>
      <c r="H430" s="22"/>
      <c r="I430" s="80"/>
      <c r="J430" s="80"/>
      <c r="K430" s="80"/>
      <c r="L430" s="80"/>
      <c r="N430" s="47"/>
      <c r="O430" s="48" t="s">
        <v>109</v>
      </c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spans="1:27" x14ac:dyDescent="0.2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N431" s="46"/>
      <c r="O431" s="1" t="s">
        <v>104</v>
      </c>
    </row>
    <row r="432" spans="1:27" x14ac:dyDescent="0.2">
      <c r="A432" s="99" t="str">
        <f>Student_Name</f>
        <v>Dirnberger</v>
      </c>
      <c r="B432" s="99"/>
      <c r="C432" s="99"/>
      <c r="D432" s="99"/>
      <c r="E432" s="99"/>
      <c r="F432" s="99"/>
      <c r="G432" s="26"/>
      <c r="H432" s="27" t="str">
        <f>Ausbildungsbetrieb_Unternehmen</f>
        <v>Continental Automotiv Technologies GmbH</v>
      </c>
      <c r="I432" s="26"/>
      <c r="J432" s="26"/>
      <c r="K432" s="26"/>
      <c r="L432" s="26"/>
    </row>
    <row r="433" spans="1:12" x14ac:dyDescent="0.2">
      <c r="A433" s="28" t="s">
        <v>31</v>
      </c>
      <c r="B433" s="28"/>
      <c r="C433" s="28"/>
      <c r="D433" s="28"/>
      <c r="E433" s="28"/>
      <c r="F433" s="28"/>
      <c r="G433" s="28"/>
      <c r="H433" s="28" t="s">
        <v>32</v>
      </c>
      <c r="I433" s="28"/>
      <c r="J433" s="28"/>
      <c r="K433" s="28"/>
      <c r="L433" s="28"/>
    </row>
    <row r="434" spans="1:12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</row>
    <row r="435" spans="1:12" x14ac:dyDescent="0.2">
      <c r="A435" s="99" t="str">
        <f>Student_Vorname</f>
        <v>Hubert</v>
      </c>
      <c r="B435" s="99"/>
      <c r="C435" s="99"/>
      <c r="D435" s="99"/>
      <c r="E435" s="99"/>
      <c r="F435" s="99"/>
      <c r="G435" s="26"/>
      <c r="H435" s="27" t="str">
        <f>CONCATENATE(Ausbildungsbetrieb_Vorname, " ", Ausbildungsbetrieb_Name)</f>
        <v>Christian Ruppel</v>
      </c>
      <c r="I435" s="26"/>
      <c r="J435" s="26"/>
      <c r="K435" s="26"/>
      <c r="L435" s="26"/>
    </row>
    <row r="436" spans="1:12" x14ac:dyDescent="0.2">
      <c r="A436" s="28" t="s">
        <v>34</v>
      </c>
      <c r="B436" s="28"/>
      <c r="C436" s="28"/>
      <c r="D436" s="28"/>
      <c r="E436" s="28"/>
      <c r="F436" s="28"/>
      <c r="G436" s="28"/>
      <c r="H436" s="28" t="s">
        <v>78</v>
      </c>
      <c r="I436" s="28"/>
      <c r="J436" s="28"/>
      <c r="K436" s="28"/>
      <c r="L436" s="28"/>
    </row>
    <row r="437" spans="1:12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2" x14ac:dyDescent="0.2">
      <c r="A438" s="99" t="str">
        <f>Student_Studiengruppe</f>
        <v>MB8</v>
      </c>
      <c r="B438" s="99"/>
      <c r="C438" s="99"/>
      <c r="D438" s="99"/>
      <c r="E438" s="99"/>
      <c r="F438" s="99"/>
      <c r="G438" s="26"/>
      <c r="H438" s="27" t="str">
        <f>Ausbildungsbetrieb_Email</f>
        <v>christian.ruppel@continental-corporaion.com</v>
      </c>
      <c r="I438" s="26"/>
      <c r="J438" s="26"/>
      <c r="K438" s="26"/>
      <c r="L438" s="26"/>
    </row>
    <row r="439" spans="1:12" x14ac:dyDescent="0.2">
      <c r="A439" s="28" t="s">
        <v>38</v>
      </c>
      <c r="B439" s="28"/>
      <c r="C439" s="28"/>
      <c r="D439" s="28"/>
      <c r="E439" s="28"/>
      <c r="F439" s="28"/>
      <c r="G439" s="28"/>
      <c r="H439" s="28" t="s">
        <v>79</v>
      </c>
      <c r="I439" s="28"/>
      <c r="J439" s="28"/>
      <c r="K439" s="28"/>
      <c r="L439" s="28"/>
    </row>
    <row r="440" spans="1:12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2" x14ac:dyDescent="0.2">
      <c r="A441" s="99">
        <f>Student_Matrikelnummer</f>
        <v>3315035</v>
      </c>
      <c r="B441" s="99"/>
      <c r="C441" s="99"/>
      <c r="D441" s="99"/>
      <c r="E441" s="99"/>
      <c r="F441" s="99"/>
      <c r="G441" s="26"/>
      <c r="H441" s="27" t="str">
        <f>Ausbildungsbetrieb_Telefon</f>
        <v>0499417903612</v>
      </c>
      <c r="I441" s="26"/>
      <c r="J441" s="26"/>
      <c r="K441" s="26"/>
      <c r="L441" s="26"/>
    </row>
    <row r="442" spans="1:12" x14ac:dyDescent="0.2">
      <c r="A442" s="28" t="s">
        <v>41</v>
      </c>
      <c r="B442" s="28"/>
      <c r="C442" s="28"/>
      <c r="D442" s="28"/>
      <c r="E442" s="28"/>
      <c r="F442" s="28"/>
      <c r="G442" s="28"/>
      <c r="H442" s="28" t="s">
        <v>80</v>
      </c>
      <c r="I442" s="28"/>
      <c r="J442" s="28"/>
      <c r="K442" s="28"/>
      <c r="L442" s="28"/>
    </row>
    <row r="443" spans="1:12" ht="15" thickBot="1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2" x14ac:dyDescent="0.2">
      <c r="A444" s="14"/>
      <c r="B444" s="15"/>
      <c r="C444" s="15"/>
      <c r="D444" s="15"/>
      <c r="E444" s="15" t="s">
        <v>81</v>
      </c>
      <c r="F444" s="15"/>
      <c r="G444" s="15"/>
      <c r="H444" s="16" t="s">
        <v>82</v>
      </c>
      <c r="I444" s="78"/>
      <c r="J444" s="78"/>
      <c r="K444" s="78"/>
      <c r="L444" s="78"/>
    </row>
    <row r="445" spans="1:12" ht="15" thickBot="1" x14ac:dyDescent="0.25">
      <c r="A445" s="104" t="s">
        <v>83</v>
      </c>
      <c r="B445" s="105"/>
      <c r="C445" s="17" t="s">
        <v>84</v>
      </c>
      <c r="D445" s="17"/>
      <c r="E445" s="103" t="s">
        <v>85</v>
      </c>
      <c r="F445" s="103"/>
      <c r="G445" s="18"/>
      <c r="H445" s="19" t="s">
        <v>86</v>
      </c>
      <c r="I445" s="78"/>
      <c r="J445" s="78"/>
      <c r="K445" s="78"/>
      <c r="L445" s="78"/>
    </row>
    <row r="446" spans="1:12" x14ac:dyDescent="0.2">
      <c r="A446" s="5">
        <f>A430+1</f>
        <v>280</v>
      </c>
      <c r="B446" s="6" t="str">
        <f>IF(WEEKDAY(C446,2)=1,"Mo",IF(WEEKDAY(C446,2)=2,"Di",IF(WEEKDAY(C446,2)=3,"Mi",IF(WEEKDAY(C446,2)=4,"Do.",IF(WEEKDAY(C446,2)=5,"Fr.",IF(WEEKDAY(C446,2)=6,"Sa.","So"))))))</f>
        <v>Mo</v>
      </c>
      <c r="C446" s="7">
        <f>C430+1</f>
        <v>46181</v>
      </c>
      <c r="D446" s="42"/>
      <c r="E446" s="8"/>
      <c r="F446" s="6" t="s">
        <v>88</v>
      </c>
      <c r="G446" s="8" t="s">
        <v>53</v>
      </c>
      <c r="H446" s="20"/>
      <c r="I446" s="80"/>
      <c r="J446" s="80"/>
      <c r="K446" s="80"/>
      <c r="L446" s="80"/>
    </row>
    <row r="447" spans="1:12" x14ac:dyDescent="0.2">
      <c r="A447" s="9">
        <f>A446+1</f>
        <v>281</v>
      </c>
      <c r="B447" s="2" t="str">
        <f t="shared" ref="B447:B473" si="30">IF(WEEKDAY(C447,2)=1,"Mo",IF(WEEKDAY(C447,2)=2,"Di",IF(WEEKDAY(C447,2)=3,"Mi",IF(WEEKDAY(C447,2)=4,"Do.",IF(WEEKDAY(C447,2)=5,"Fr.",IF(WEEKDAY(C447,2)=6,"Sa.","So"))))))</f>
        <v>Di</v>
      </c>
      <c r="C447" s="4">
        <f>C446+1</f>
        <v>46182</v>
      </c>
      <c r="D447" s="43"/>
      <c r="E447" s="3"/>
      <c r="F447" s="2" t="s">
        <v>88</v>
      </c>
      <c r="G447" s="3" t="s">
        <v>53</v>
      </c>
      <c r="H447" s="21"/>
      <c r="I447" s="80"/>
      <c r="J447" s="80"/>
      <c r="K447" s="80"/>
      <c r="L447" s="80"/>
    </row>
    <row r="448" spans="1:12" x14ac:dyDescent="0.2">
      <c r="A448" s="9">
        <f t="shared" ref="A448:A472" si="31">A447+1</f>
        <v>282</v>
      </c>
      <c r="B448" s="2" t="str">
        <f t="shared" si="30"/>
        <v>Mi</v>
      </c>
      <c r="C448" s="4">
        <f t="shared" ref="C448:C473" si="32">C447+1</f>
        <v>46183</v>
      </c>
      <c r="D448" s="43"/>
      <c r="E448" s="3"/>
      <c r="F448" s="2" t="s">
        <v>88</v>
      </c>
      <c r="G448" s="3" t="s">
        <v>53</v>
      </c>
      <c r="H448" s="21"/>
      <c r="I448" s="80"/>
      <c r="J448" s="80"/>
      <c r="K448" s="80"/>
      <c r="L448" s="80"/>
    </row>
    <row r="449" spans="1:12" x14ac:dyDescent="0.2">
      <c r="A449" s="9">
        <f t="shared" si="31"/>
        <v>283</v>
      </c>
      <c r="B449" s="2" t="str">
        <f t="shared" si="30"/>
        <v>Do.</v>
      </c>
      <c r="C449" s="4">
        <f t="shared" si="32"/>
        <v>46184</v>
      </c>
      <c r="D449" s="43"/>
      <c r="E449" s="3"/>
      <c r="F449" s="2" t="s">
        <v>88</v>
      </c>
      <c r="G449" s="3" t="s">
        <v>53</v>
      </c>
      <c r="H449" s="21"/>
      <c r="I449" s="80"/>
      <c r="J449" s="80"/>
      <c r="K449" s="80"/>
      <c r="L449" s="80"/>
    </row>
    <row r="450" spans="1:12" x14ac:dyDescent="0.2">
      <c r="A450" s="9">
        <f t="shared" si="31"/>
        <v>284</v>
      </c>
      <c r="B450" s="2" t="str">
        <f t="shared" si="30"/>
        <v>Fr.</v>
      </c>
      <c r="C450" s="4">
        <f t="shared" si="32"/>
        <v>46185</v>
      </c>
      <c r="D450" s="43"/>
      <c r="E450" s="3"/>
      <c r="F450" s="2" t="s">
        <v>88</v>
      </c>
      <c r="G450" s="3" t="s">
        <v>53</v>
      </c>
      <c r="H450" s="21"/>
      <c r="I450" s="80"/>
      <c r="J450" s="80"/>
      <c r="K450" s="80"/>
      <c r="L450" s="80"/>
    </row>
    <row r="451" spans="1:12" x14ac:dyDescent="0.2">
      <c r="A451" s="9">
        <f t="shared" si="31"/>
        <v>285</v>
      </c>
      <c r="B451" s="2" t="str">
        <f t="shared" si="30"/>
        <v>Sa.</v>
      </c>
      <c r="C451" s="4">
        <f t="shared" si="32"/>
        <v>46186</v>
      </c>
      <c r="D451" s="43"/>
      <c r="E451" s="3"/>
      <c r="F451" s="2" t="s">
        <v>88</v>
      </c>
      <c r="G451" s="3" t="s">
        <v>53</v>
      </c>
      <c r="H451" s="21"/>
      <c r="I451" s="80"/>
      <c r="J451" s="80"/>
      <c r="K451" s="80"/>
      <c r="L451" s="80"/>
    </row>
    <row r="452" spans="1:12" x14ac:dyDescent="0.2">
      <c r="A452" s="9">
        <f t="shared" si="31"/>
        <v>286</v>
      </c>
      <c r="B452" s="2" t="str">
        <f t="shared" si="30"/>
        <v>So</v>
      </c>
      <c r="C452" s="4">
        <f t="shared" si="32"/>
        <v>46187</v>
      </c>
      <c r="D452" s="43"/>
      <c r="E452" s="3"/>
      <c r="F452" s="2" t="s">
        <v>88</v>
      </c>
      <c r="G452" s="3" t="s">
        <v>53</v>
      </c>
      <c r="H452" s="21"/>
      <c r="I452" s="80"/>
      <c r="J452" s="80"/>
      <c r="K452" s="80"/>
      <c r="L452" s="80"/>
    </row>
    <row r="453" spans="1:12" x14ac:dyDescent="0.2">
      <c r="A453" s="9">
        <f t="shared" si="31"/>
        <v>287</v>
      </c>
      <c r="B453" s="2" t="str">
        <f t="shared" si="30"/>
        <v>Mo</v>
      </c>
      <c r="C453" s="4">
        <f t="shared" si="32"/>
        <v>46188</v>
      </c>
      <c r="D453" s="43"/>
      <c r="E453" s="3"/>
      <c r="F453" s="2" t="s">
        <v>88</v>
      </c>
      <c r="G453" s="3" t="s">
        <v>53</v>
      </c>
      <c r="H453" s="21"/>
      <c r="I453" s="80"/>
      <c r="J453" s="80"/>
      <c r="K453" s="80"/>
      <c r="L453" s="80"/>
    </row>
    <row r="454" spans="1:12" x14ac:dyDescent="0.2">
      <c r="A454" s="9">
        <f t="shared" si="31"/>
        <v>288</v>
      </c>
      <c r="B454" s="2" t="str">
        <f t="shared" si="30"/>
        <v>Di</v>
      </c>
      <c r="C454" s="4">
        <f t="shared" si="32"/>
        <v>46189</v>
      </c>
      <c r="D454" s="43"/>
      <c r="E454" s="3"/>
      <c r="F454" s="2" t="s">
        <v>88</v>
      </c>
      <c r="G454" s="3" t="s">
        <v>53</v>
      </c>
      <c r="H454" s="21"/>
      <c r="I454" s="80"/>
      <c r="J454" s="80"/>
      <c r="K454" s="80"/>
      <c r="L454" s="80"/>
    </row>
    <row r="455" spans="1:12" x14ac:dyDescent="0.2">
      <c r="A455" s="9">
        <f t="shared" si="31"/>
        <v>289</v>
      </c>
      <c r="B455" s="2" t="str">
        <f t="shared" si="30"/>
        <v>Mi</v>
      </c>
      <c r="C455" s="4">
        <f t="shared" si="32"/>
        <v>46190</v>
      </c>
      <c r="D455" s="43"/>
      <c r="E455" s="3"/>
      <c r="F455" s="2" t="s">
        <v>88</v>
      </c>
      <c r="G455" s="3" t="s">
        <v>53</v>
      </c>
      <c r="H455" s="21"/>
      <c r="I455" s="80"/>
      <c r="J455" s="80"/>
      <c r="K455" s="80"/>
      <c r="L455" s="80"/>
    </row>
    <row r="456" spans="1:12" x14ac:dyDescent="0.2">
      <c r="A456" s="9">
        <f t="shared" si="31"/>
        <v>290</v>
      </c>
      <c r="B456" s="2" t="str">
        <f t="shared" si="30"/>
        <v>Do.</v>
      </c>
      <c r="C456" s="4">
        <f t="shared" si="32"/>
        <v>46191</v>
      </c>
      <c r="D456" s="43"/>
      <c r="E456" s="3"/>
      <c r="F456" s="2" t="s">
        <v>88</v>
      </c>
      <c r="G456" s="3" t="s">
        <v>53</v>
      </c>
      <c r="H456" s="21"/>
      <c r="I456" s="80"/>
      <c r="J456" s="80"/>
      <c r="K456" s="80"/>
      <c r="L456" s="80"/>
    </row>
    <row r="457" spans="1:12" x14ac:dyDescent="0.2">
      <c r="A457" s="9">
        <f t="shared" si="31"/>
        <v>291</v>
      </c>
      <c r="B457" s="2" t="str">
        <f t="shared" si="30"/>
        <v>Fr.</v>
      </c>
      <c r="C457" s="4">
        <f t="shared" si="32"/>
        <v>46192</v>
      </c>
      <c r="D457" s="43"/>
      <c r="E457" s="3"/>
      <c r="F457" s="2" t="s">
        <v>88</v>
      </c>
      <c r="G457" s="3" t="s">
        <v>53</v>
      </c>
      <c r="H457" s="21"/>
      <c r="I457" s="80"/>
      <c r="J457" s="80"/>
      <c r="K457" s="80"/>
      <c r="L457" s="80"/>
    </row>
    <row r="458" spans="1:12" x14ac:dyDescent="0.2">
      <c r="A458" s="9">
        <f t="shared" si="31"/>
        <v>292</v>
      </c>
      <c r="B458" s="2" t="str">
        <f t="shared" si="30"/>
        <v>Sa.</v>
      </c>
      <c r="C458" s="4">
        <f t="shared" si="32"/>
        <v>46193</v>
      </c>
      <c r="D458" s="43"/>
      <c r="E458" s="3"/>
      <c r="F458" s="2" t="s">
        <v>88</v>
      </c>
      <c r="G458" s="3" t="s">
        <v>53</v>
      </c>
      <c r="H458" s="21"/>
      <c r="I458" s="80"/>
      <c r="J458" s="80"/>
      <c r="K458" s="80"/>
      <c r="L458" s="80"/>
    </row>
    <row r="459" spans="1:12" x14ac:dyDescent="0.2">
      <c r="A459" s="9">
        <f t="shared" si="31"/>
        <v>293</v>
      </c>
      <c r="B459" s="2" t="str">
        <f t="shared" si="30"/>
        <v>So</v>
      </c>
      <c r="C459" s="4">
        <f t="shared" si="32"/>
        <v>46194</v>
      </c>
      <c r="D459" s="43"/>
      <c r="E459" s="3"/>
      <c r="F459" s="2" t="s">
        <v>88</v>
      </c>
      <c r="G459" s="3" t="s">
        <v>53</v>
      </c>
      <c r="H459" s="21"/>
      <c r="I459" s="80"/>
      <c r="J459" s="80"/>
      <c r="K459" s="80"/>
      <c r="L459" s="80"/>
    </row>
    <row r="460" spans="1:12" x14ac:dyDescent="0.2">
      <c r="A460" s="9">
        <f t="shared" si="31"/>
        <v>294</v>
      </c>
      <c r="B460" s="2" t="str">
        <f t="shared" si="30"/>
        <v>Mo</v>
      </c>
      <c r="C460" s="4">
        <f t="shared" si="32"/>
        <v>46195</v>
      </c>
      <c r="D460" s="43"/>
      <c r="E460" s="3"/>
      <c r="F460" s="2" t="s">
        <v>88</v>
      </c>
      <c r="G460" s="3" t="s">
        <v>53</v>
      </c>
      <c r="H460" s="21"/>
      <c r="I460" s="80"/>
      <c r="J460" s="80"/>
      <c r="K460" s="80"/>
      <c r="L460" s="80"/>
    </row>
    <row r="461" spans="1:12" x14ac:dyDescent="0.2">
      <c r="A461" s="9">
        <f t="shared" si="31"/>
        <v>295</v>
      </c>
      <c r="B461" s="2" t="str">
        <f t="shared" si="30"/>
        <v>Di</v>
      </c>
      <c r="C461" s="4">
        <f t="shared" si="32"/>
        <v>46196</v>
      </c>
      <c r="D461" s="43"/>
      <c r="E461" s="3"/>
      <c r="F461" s="2" t="s">
        <v>88</v>
      </c>
      <c r="G461" s="3" t="s">
        <v>53</v>
      </c>
      <c r="H461" s="21"/>
      <c r="I461" s="80"/>
      <c r="J461" s="80"/>
      <c r="K461" s="80"/>
      <c r="L461" s="80"/>
    </row>
    <row r="462" spans="1:12" x14ac:dyDescent="0.2">
      <c r="A462" s="9">
        <f t="shared" si="31"/>
        <v>296</v>
      </c>
      <c r="B462" s="2" t="str">
        <f t="shared" si="30"/>
        <v>Mi</v>
      </c>
      <c r="C462" s="4">
        <f t="shared" si="32"/>
        <v>46197</v>
      </c>
      <c r="D462" s="43"/>
      <c r="E462" s="3"/>
      <c r="F462" s="2" t="s">
        <v>88</v>
      </c>
      <c r="G462" s="3" t="s">
        <v>53</v>
      </c>
      <c r="H462" s="21"/>
      <c r="I462" s="80"/>
      <c r="J462" s="80"/>
      <c r="K462" s="80"/>
      <c r="L462" s="80"/>
    </row>
    <row r="463" spans="1:12" x14ac:dyDescent="0.2">
      <c r="A463" s="9">
        <f t="shared" si="31"/>
        <v>297</v>
      </c>
      <c r="B463" s="2" t="str">
        <f t="shared" si="30"/>
        <v>Do.</v>
      </c>
      <c r="C463" s="4">
        <f t="shared" si="32"/>
        <v>46198</v>
      </c>
      <c r="D463" s="43"/>
      <c r="E463" s="3"/>
      <c r="F463" s="2" t="s">
        <v>88</v>
      </c>
      <c r="G463" s="3" t="s">
        <v>53</v>
      </c>
      <c r="H463" s="21"/>
      <c r="I463" s="80"/>
      <c r="J463" s="80"/>
      <c r="K463" s="80"/>
      <c r="L463" s="80"/>
    </row>
    <row r="464" spans="1:12" x14ac:dyDescent="0.2">
      <c r="A464" s="9">
        <f t="shared" si="31"/>
        <v>298</v>
      </c>
      <c r="B464" s="2" t="str">
        <f t="shared" si="30"/>
        <v>Fr.</v>
      </c>
      <c r="C464" s="4">
        <f t="shared" si="32"/>
        <v>46199</v>
      </c>
      <c r="D464" s="43"/>
      <c r="E464" s="3"/>
      <c r="F464" s="2" t="s">
        <v>88</v>
      </c>
      <c r="G464" s="3" t="s">
        <v>53</v>
      </c>
      <c r="H464" s="21"/>
      <c r="I464" s="80"/>
      <c r="J464" s="80"/>
      <c r="K464" s="80"/>
      <c r="L464" s="80"/>
    </row>
    <row r="465" spans="1:27" x14ac:dyDescent="0.2">
      <c r="A465" s="9">
        <f t="shared" si="31"/>
        <v>299</v>
      </c>
      <c r="B465" s="2" t="str">
        <f t="shared" si="30"/>
        <v>Sa.</v>
      </c>
      <c r="C465" s="4">
        <f t="shared" si="32"/>
        <v>46200</v>
      </c>
      <c r="D465" s="43"/>
      <c r="E465" s="3"/>
      <c r="F465" s="2" t="s">
        <v>88</v>
      </c>
      <c r="G465" s="3" t="s">
        <v>53</v>
      </c>
      <c r="H465" s="21"/>
      <c r="I465" s="80"/>
      <c r="J465" s="80"/>
      <c r="K465" s="80"/>
      <c r="L465" s="80"/>
    </row>
    <row r="466" spans="1:27" x14ac:dyDescent="0.2">
      <c r="A466" s="9">
        <f t="shared" si="31"/>
        <v>300</v>
      </c>
      <c r="B466" s="2" t="str">
        <f t="shared" si="30"/>
        <v>So</v>
      </c>
      <c r="C466" s="4">
        <f t="shared" si="32"/>
        <v>46201</v>
      </c>
      <c r="D466" s="43"/>
      <c r="E466" s="3"/>
      <c r="F466" s="2" t="s">
        <v>88</v>
      </c>
      <c r="G466" s="3" t="s">
        <v>53</v>
      </c>
      <c r="H466" s="21"/>
      <c r="I466" s="80"/>
      <c r="J466" s="80"/>
      <c r="K466" s="80"/>
      <c r="L466" s="80"/>
    </row>
    <row r="467" spans="1:27" x14ac:dyDescent="0.2">
      <c r="A467" s="9">
        <f t="shared" si="31"/>
        <v>301</v>
      </c>
      <c r="B467" s="2" t="str">
        <f t="shared" si="30"/>
        <v>Mo</v>
      </c>
      <c r="C467" s="4">
        <f t="shared" si="32"/>
        <v>46202</v>
      </c>
      <c r="D467" s="43"/>
      <c r="E467" s="3"/>
      <c r="F467" s="2" t="s">
        <v>88</v>
      </c>
      <c r="G467" s="3" t="s">
        <v>53</v>
      </c>
      <c r="H467" s="21"/>
      <c r="I467" s="80"/>
      <c r="J467" s="80"/>
      <c r="K467" s="80"/>
      <c r="L467" s="80"/>
    </row>
    <row r="468" spans="1:27" x14ac:dyDescent="0.2">
      <c r="A468" s="9">
        <f t="shared" si="31"/>
        <v>302</v>
      </c>
      <c r="B468" s="2" t="str">
        <f t="shared" si="30"/>
        <v>Di</v>
      </c>
      <c r="C468" s="4">
        <f t="shared" si="32"/>
        <v>46203</v>
      </c>
      <c r="D468" s="43"/>
      <c r="E468" s="3"/>
      <c r="F468" s="2" t="s">
        <v>88</v>
      </c>
      <c r="G468" s="3" t="s">
        <v>53</v>
      </c>
      <c r="H468" s="21"/>
      <c r="I468" s="80"/>
      <c r="J468" s="80"/>
      <c r="K468" s="80"/>
      <c r="L468" s="80"/>
    </row>
    <row r="469" spans="1:27" x14ac:dyDescent="0.2">
      <c r="A469" s="9">
        <f t="shared" si="31"/>
        <v>303</v>
      </c>
      <c r="B469" s="2" t="str">
        <f t="shared" si="30"/>
        <v>Mi</v>
      </c>
      <c r="C469" s="4">
        <f t="shared" si="32"/>
        <v>46204</v>
      </c>
      <c r="D469" s="43"/>
      <c r="E469" s="45"/>
      <c r="F469" s="2" t="s">
        <v>88</v>
      </c>
      <c r="G469" s="3" t="s">
        <v>53</v>
      </c>
      <c r="H469" s="21"/>
      <c r="I469" s="80"/>
      <c r="J469" s="80"/>
      <c r="K469" s="80"/>
      <c r="L469" s="80"/>
    </row>
    <row r="470" spans="1:27" x14ac:dyDescent="0.2">
      <c r="A470" s="9">
        <f t="shared" si="31"/>
        <v>304</v>
      </c>
      <c r="B470" s="2" t="str">
        <f t="shared" si="30"/>
        <v>Do.</v>
      </c>
      <c r="C470" s="4">
        <f t="shared" si="32"/>
        <v>46205</v>
      </c>
      <c r="D470" s="43"/>
      <c r="E470" s="45"/>
      <c r="F470" s="2" t="s">
        <v>88</v>
      </c>
      <c r="G470" s="3" t="s">
        <v>53</v>
      </c>
      <c r="H470" s="21"/>
      <c r="I470" s="80"/>
      <c r="J470" s="80"/>
      <c r="K470" s="80"/>
      <c r="L470" s="80"/>
    </row>
    <row r="471" spans="1:27" x14ac:dyDescent="0.2">
      <c r="A471" s="9">
        <f t="shared" si="31"/>
        <v>305</v>
      </c>
      <c r="B471" s="2" t="str">
        <f t="shared" si="30"/>
        <v>Fr.</v>
      </c>
      <c r="C471" s="4">
        <f t="shared" si="32"/>
        <v>46206</v>
      </c>
      <c r="D471" s="43"/>
      <c r="E471" s="3"/>
      <c r="F471" s="2" t="s">
        <v>88</v>
      </c>
      <c r="G471" s="3" t="s">
        <v>53</v>
      </c>
      <c r="H471" s="21"/>
      <c r="I471" s="80"/>
      <c r="J471" s="80"/>
      <c r="K471" s="80"/>
      <c r="L471" s="80"/>
    </row>
    <row r="472" spans="1:27" x14ac:dyDescent="0.2">
      <c r="A472" s="9">
        <f t="shared" si="31"/>
        <v>306</v>
      </c>
      <c r="B472" s="2" t="str">
        <f t="shared" si="30"/>
        <v>Sa.</v>
      </c>
      <c r="C472" s="4">
        <f t="shared" si="32"/>
        <v>46207</v>
      </c>
      <c r="D472" s="43"/>
      <c r="E472" s="3"/>
      <c r="F472" s="2" t="s">
        <v>88</v>
      </c>
      <c r="G472" s="3" t="s">
        <v>53</v>
      </c>
      <c r="H472" s="21"/>
      <c r="I472" s="80"/>
      <c r="J472" s="80"/>
      <c r="K472" s="80"/>
      <c r="L472" s="80"/>
    </row>
    <row r="473" spans="1:27" ht="15" thickBot="1" x14ac:dyDescent="0.25">
      <c r="A473" s="10">
        <f>A472+1</f>
        <v>307</v>
      </c>
      <c r="B473" s="11" t="str">
        <f t="shared" si="30"/>
        <v>So</v>
      </c>
      <c r="C473" s="12">
        <f t="shared" si="32"/>
        <v>46208</v>
      </c>
      <c r="D473" s="44"/>
      <c r="E473" s="13"/>
      <c r="F473" s="11" t="s">
        <v>88</v>
      </c>
      <c r="G473" s="13" t="s">
        <v>53</v>
      </c>
      <c r="H473" s="22"/>
      <c r="I473" s="80"/>
      <c r="J473" s="80"/>
      <c r="K473" s="80"/>
      <c r="L473" s="80"/>
      <c r="N473" s="47"/>
      <c r="O473" s="48" t="s">
        <v>109</v>
      </c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spans="1:27" x14ac:dyDescent="0.2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N474" s="46"/>
      <c r="O474" s="1" t="s">
        <v>104</v>
      </c>
    </row>
    <row r="475" spans="1:27" x14ac:dyDescent="0.2">
      <c r="A475" s="99" t="str">
        <f>Student_Name</f>
        <v>Dirnberger</v>
      </c>
      <c r="B475" s="99"/>
      <c r="C475" s="99"/>
      <c r="D475" s="99"/>
      <c r="E475" s="99"/>
      <c r="F475" s="99"/>
      <c r="G475" s="26"/>
      <c r="H475" s="27" t="str">
        <f>Ausbildungsbetrieb_Unternehmen</f>
        <v>Continental Automotiv Technologies GmbH</v>
      </c>
      <c r="I475" s="26"/>
      <c r="J475" s="26"/>
      <c r="K475" s="26"/>
      <c r="L475" s="26"/>
    </row>
    <row r="476" spans="1:27" x14ac:dyDescent="0.2">
      <c r="A476" s="28" t="s">
        <v>31</v>
      </c>
      <c r="B476" s="28"/>
      <c r="C476" s="28"/>
      <c r="D476" s="28"/>
      <c r="E476" s="28"/>
      <c r="F476" s="28"/>
      <c r="G476" s="28"/>
      <c r="H476" s="28" t="s">
        <v>32</v>
      </c>
      <c r="I476" s="28"/>
      <c r="J476" s="28"/>
      <c r="K476" s="28"/>
      <c r="L476" s="28"/>
    </row>
    <row r="477" spans="1:27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</row>
    <row r="478" spans="1:27" x14ac:dyDescent="0.2">
      <c r="A478" s="99" t="str">
        <f>Student_Vorname</f>
        <v>Hubert</v>
      </c>
      <c r="B478" s="99"/>
      <c r="C478" s="99"/>
      <c r="D478" s="99"/>
      <c r="E478" s="99"/>
      <c r="F478" s="99"/>
      <c r="G478" s="26"/>
      <c r="H478" s="27" t="str">
        <f>CONCATENATE(Ausbildungsbetrieb_Vorname, " ", Ausbildungsbetrieb_Name)</f>
        <v>Christian Ruppel</v>
      </c>
      <c r="I478" s="26"/>
      <c r="J478" s="26"/>
      <c r="K478" s="26"/>
      <c r="L478" s="26"/>
    </row>
    <row r="479" spans="1:27" x14ac:dyDescent="0.2">
      <c r="A479" s="28" t="s">
        <v>34</v>
      </c>
      <c r="B479" s="28"/>
      <c r="C479" s="28"/>
      <c r="D479" s="28"/>
      <c r="E479" s="28"/>
      <c r="F479" s="28"/>
      <c r="G479" s="28"/>
      <c r="H479" s="28" t="s">
        <v>78</v>
      </c>
      <c r="I479" s="28"/>
      <c r="J479" s="28"/>
      <c r="K479" s="28"/>
      <c r="L479" s="28"/>
    </row>
    <row r="480" spans="1:27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</row>
    <row r="481" spans="1:12" x14ac:dyDescent="0.2">
      <c r="A481" s="99" t="str">
        <f>Student_Studiengruppe</f>
        <v>MB8</v>
      </c>
      <c r="B481" s="99"/>
      <c r="C481" s="99"/>
      <c r="D481" s="99"/>
      <c r="E481" s="99"/>
      <c r="F481" s="99"/>
      <c r="G481" s="26"/>
      <c r="H481" s="27" t="str">
        <f>Ausbildungsbetrieb_Email</f>
        <v>christian.ruppel@continental-corporaion.com</v>
      </c>
      <c r="I481" s="26"/>
      <c r="J481" s="26"/>
      <c r="K481" s="26"/>
      <c r="L481" s="26"/>
    </row>
    <row r="482" spans="1:12" x14ac:dyDescent="0.2">
      <c r="A482" s="28" t="s">
        <v>38</v>
      </c>
      <c r="B482" s="28"/>
      <c r="C482" s="28"/>
      <c r="D482" s="28"/>
      <c r="E482" s="28"/>
      <c r="F482" s="28"/>
      <c r="G482" s="28"/>
      <c r="H482" s="28" t="s">
        <v>79</v>
      </c>
      <c r="I482" s="28"/>
      <c r="J482" s="28"/>
      <c r="K482" s="28"/>
      <c r="L482" s="28"/>
    </row>
    <row r="483" spans="1:12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</row>
    <row r="484" spans="1:12" x14ac:dyDescent="0.2">
      <c r="A484" s="99">
        <f>Student_Matrikelnummer</f>
        <v>3315035</v>
      </c>
      <c r="B484" s="99"/>
      <c r="C484" s="99"/>
      <c r="D484" s="99"/>
      <c r="E484" s="99"/>
      <c r="F484" s="99"/>
      <c r="G484" s="26"/>
      <c r="H484" s="27" t="str">
        <f>Ausbildungsbetrieb_Telefon</f>
        <v>0499417903612</v>
      </c>
      <c r="I484" s="26"/>
      <c r="J484" s="26"/>
      <c r="K484" s="26"/>
      <c r="L484" s="26"/>
    </row>
    <row r="485" spans="1:12" x14ac:dyDescent="0.2">
      <c r="A485" s="28" t="s">
        <v>41</v>
      </c>
      <c r="B485" s="28"/>
      <c r="C485" s="28"/>
      <c r="D485" s="28"/>
      <c r="E485" s="28"/>
      <c r="F485" s="28"/>
      <c r="G485" s="28"/>
      <c r="H485" s="28" t="s">
        <v>80</v>
      </c>
      <c r="I485" s="28"/>
      <c r="J485" s="28"/>
      <c r="K485" s="28"/>
      <c r="L485" s="28"/>
    </row>
    <row r="486" spans="1:12" ht="15" thickBot="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</row>
    <row r="487" spans="1:12" x14ac:dyDescent="0.2">
      <c r="A487" s="14"/>
      <c r="B487" s="15"/>
      <c r="C487" s="15"/>
      <c r="D487" s="15"/>
      <c r="E487" s="15" t="s">
        <v>81</v>
      </c>
      <c r="F487" s="15"/>
      <c r="G487" s="15"/>
      <c r="H487" s="16" t="s">
        <v>82</v>
      </c>
      <c r="I487" s="78"/>
      <c r="J487" s="78"/>
      <c r="K487" s="78"/>
      <c r="L487" s="78"/>
    </row>
    <row r="488" spans="1:12" ht="15" thickBot="1" x14ac:dyDescent="0.25">
      <c r="A488" s="104" t="s">
        <v>83</v>
      </c>
      <c r="B488" s="105"/>
      <c r="C488" s="17" t="s">
        <v>84</v>
      </c>
      <c r="D488" s="17"/>
      <c r="E488" s="103" t="s">
        <v>85</v>
      </c>
      <c r="F488" s="103"/>
      <c r="G488" s="18"/>
      <c r="H488" s="19" t="s">
        <v>86</v>
      </c>
      <c r="I488" s="78"/>
      <c r="J488" s="78"/>
      <c r="K488" s="78"/>
      <c r="L488" s="78"/>
    </row>
    <row r="489" spans="1:12" x14ac:dyDescent="0.2">
      <c r="A489" s="5">
        <f>A473+1</f>
        <v>308</v>
      </c>
      <c r="B489" s="6" t="str">
        <f>IF(WEEKDAY(C489,2)=1,"Mo",IF(WEEKDAY(C489,2)=2,"Di",IF(WEEKDAY(C489,2)=3,"Mi",IF(WEEKDAY(C489,2)=4,"Do.",IF(WEEKDAY(C489,2)=5,"Fr.",IF(WEEKDAY(C489,2)=6,"Sa.","So"))))))</f>
        <v>Mo</v>
      </c>
      <c r="C489" s="7">
        <f>C473+1</f>
        <v>46209</v>
      </c>
      <c r="D489" s="42"/>
      <c r="E489" s="8"/>
      <c r="F489" s="6" t="s">
        <v>88</v>
      </c>
      <c r="G489" s="8" t="s">
        <v>53</v>
      </c>
      <c r="H489" s="20"/>
      <c r="I489" s="80"/>
      <c r="J489" s="80"/>
      <c r="K489" s="80"/>
      <c r="L489" s="80"/>
    </row>
    <row r="490" spans="1:12" x14ac:dyDescent="0.2">
      <c r="A490" s="9">
        <f>A489+1</f>
        <v>309</v>
      </c>
      <c r="B490" s="2" t="str">
        <f t="shared" ref="B490:B516" si="33">IF(WEEKDAY(C490,2)=1,"Mo",IF(WEEKDAY(C490,2)=2,"Di",IF(WEEKDAY(C490,2)=3,"Mi",IF(WEEKDAY(C490,2)=4,"Do.",IF(WEEKDAY(C490,2)=5,"Fr.",IF(WEEKDAY(C490,2)=6,"Sa.","So"))))))</f>
        <v>Di</v>
      </c>
      <c r="C490" s="4">
        <f>C489+1</f>
        <v>46210</v>
      </c>
      <c r="D490" s="43"/>
      <c r="E490" s="3"/>
      <c r="F490" s="2" t="s">
        <v>88</v>
      </c>
      <c r="G490" s="3" t="s">
        <v>53</v>
      </c>
      <c r="H490" s="21"/>
      <c r="I490" s="80"/>
      <c r="J490" s="80"/>
      <c r="K490" s="80"/>
      <c r="L490" s="80"/>
    </row>
    <row r="491" spans="1:12" x14ac:dyDescent="0.2">
      <c r="A491" s="9">
        <f t="shared" ref="A491:A515" si="34">A490+1</f>
        <v>310</v>
      </c>
      <c r="B491" s="2" t="str">
        <f t="shared" si="33"/>
        <v>Mi</v>
      </c>
      <c r="C491" s="4">
        <f t="shared" ref="C491:C516" si="35">C490+1</f>
        <v>46211</v>
      </c>
      <c r="D491" s="43"/>
      <c r="E491" s="3"/>
      <c r="F491" s="2" t="s">
        <v>88</v>
      </c>
      <c r="G491" s="3" t="s">
        <v>53</v>
      </c>
      <c r="H491" s="21"/>
      <c r="I491" s="80"/>
      <c r="J491" s="80"/>
      <c r="K491" s="80"/>
      <c r="L491" s="80"/>
    </row>
    <row r="492" spans="1:12" x14ac:dyDescent="0.2">
      <c r="A492" s="9">
        <f t="shared" si="34"/>
        <v>311</v>
      </c>
      <c r="B492" s="2" t="str">
        <f t="shared" si="33"/>
        <v>Do.</v>
      </c>
      <c r="C492" s="4">
        <f t="shared" si="35"/>
        <v>46212</v>
      </c>
      <c r="D492" s="43"/>
      <c r="E492" s="3"/>
      <c r="F492" s="2" t="s">
        <v>88</v>
      </c>
      <c r="G492" s="3" t="s">
        <v>53</v>
      </c>
      <c r="H492" s="21"/>
      <c r="I492" s="80"/>
      <c r="J492" s="80"/>
      <c r="K492" s="80"/>
      <c r="L492" s="80"/>
    </row>
    <row r="493" spans="1:12" x14ac:dyDescent="0.2">
      <c r="A493" s="9">
        <f t="shared" si="34"/>
        <v>312</v>
      </c>
      <c r="B493" s="2" t="str">
        <f t="shared" si="33"/>
        <v>Fr.</v>
      </c>
      <c r="C493" s="4">
        <f t="shared" si="35"/>
        <v>46213</v>
      </c>
      <c r="D493" s="43"/>
      <c r="E493" s="3"/>
      <c r="F493" s="2" t="s">
        <v>88</v>
      </c>
      <c r="G493" s="3" t="s">
        <v>53</v>
      </c>
      <c r="H493" s="21"/>
      <c r="I493" s="80"/>
      <c r="J493" s="80"/>
      <c r="K493" s="80"/>
      <c r="L493" s="80"/>
    </row>
    <row r="494" spans="1:12" x14ac:dyDescent="0.2">
      <c r="A494" s="9">
        <f t="shared" si="34"/>
        <v>313</v>
      </c>
      <c r="B494" s="2" t="str">
        <f t="shared" si="33"/>
        <v>Sa.</v>
      </c>
      <c r="C494" s="4">
        <f t="shared" si="35"/>
        <v>46214</v>
      </c>
      <c r="D494" s="43"/>
      <c r="E494" s="3"/>
      <c r="F494" s="2" t="s">
        <v>88</v>
      </c>
      <c r="G494" s="3" t="s">
        <v>53</v>
      </c>
      <c r="H494" s="21"/>
      <c r="I494" s="80"/>
      <c r="J494" s="80"/>
      <c r="K494" s="80"/>
      <c r="L494" s="80"/>
    </row>
    <row r="495" spans="1:12" x14ac:dyDescent="0.2">
      <c r="A495" s="9">
        <f t="shared" si="34"/>
        <v>314</v>
      </c>
      <c r="B495" s="2" t="str">
        <f t="shared" si="33"/>
        <v>So</v>
      </c>
      <c r="C495" s="4">
        <f t="shared" si="35"/>
        <v>46215</v>
      </c>
      <c r="D495" s="43"/>
      <c r="E495" s="3"/>
      <c r="F495" s="2" t="s">
        <v>88</v>
      </c>
      <c r="G495" s="3" t="s">
        <v>53</v>
      </c>
      <c r="H495" s="21"/>
      <c r="I495" s="80"/>
      <c r="J495" s="80"/>
      <c r="K495" s="80"/>
      <c r="L495" s="80"/>
    </row>
    <row r="496" spans="1:12" x14ac:dyDescent="0.2">
      <c r="A496" s="9">
        <f t="shared" si="34"/>
        <v>315</v>
      </c>
      <c r="B496" s="2" t="str">
        <f t="shared" si="33"/>
        <v>Mo</v>
      </c>
      <c r="C496" s="4">
        <f t="shared" si="35"/>
        <v>46216</v>
      </c>
      <c r="D496" s="43"/>
      <c r="E496" s="3"/>
      <c r="F496" s="2" t="s">
        <v>88</v>
      </c>
      <c r="G496" s="3" t="s">
        <v>53</v>
      </c>
      <c r="H496" s="21"/>
      <c r="I496" s="80"/>
      <c r="J496" s="80"/>
      <c r="K496" s="80"/>
      <c r="L496" s="80"/>
    </row>
    <row r="497" spans="1:12" x14ac:dyDescent="0.2">
      <c r="A497" s="9">
        <f t="shared" si="34"/>
        <v>316</v>
      </c>
      <c r="B497" s="2" t="str">
        <f t="shared" si="33"/>
        <v>Di</v>
      </c>
      <c r="C497" s="4">
        <f t="shared" si="35"/>
        <v>46217</v>
      </c>
      <c r="D497" s="43"/>
      <c r="E497" s="3"/>
      <c r="F497" s="2" t="s">
        <v>88</v>
      </c>
      <c r="G497" s="3" t="s">
        <v>53</v>
      </c>
      <c r="H497" s="21"/>
      <c r="I497" s="80"/>
      <c r="J497" s="80"/>
      <c r="K497" s="80"/>
      <c r="L497" s="80"/>
    </row>
    <row r="498" spans="1:12" x14ac:dyDescent="0.2">
      <c r="A498" s="9">
        <f t="shared" si="34"/>
        <v>317</v>
      </c>
      <c r="B498" s="2" t="str">
        <f t="shared" si="33"/>
        <v>Mi</v>
      </c>
      <c r="C498" s="4">
        <f t="shared" si="35"/>
        <v>46218</v>
      </c>
      <c r="D498" s="43"/>
      <c r="E498" s="3"/>
      <c r="F498" s="2" t="s">
        <v>88</v>
      </c>
      <c r="G498" s="3" t="s">
        <v>53</v>
      </c>
      <c r="H498" s="21"/>
      <c r="I498" s="80"/>
      <c r="J498" s="80"/>
      <c r="K498" s="80"/>
      <c r="L498" s="80"/>
    </row>
    <row r="499" spans="1:12" x14ac:dyDescent="0.2">
      <c r="A499" s="9">
        <f t="shared" si="34"/>
        <v>318</v>
      </c>
      <c r="B499" s="2" t="str">
        <f t="shared" si="33"/>
        <v>Do.</v>
      </c>
      <c r="C499" s="4">
        <f t="shared" si="35"/>
        <v>46219</v>
      </c>
      <c r="D499" s="43"/>
      <c r="E499" s="3"/>
      <c r="F499" s="2" t="s">
        <v>88</v>
      </c>
      <c r="G499" s="3" t="s">
        <v>53</v>
      </c>
      <c r="H499" s="21"/>
      <c r="I499" s="80"/>
      <c r="J499" s="80"/>
      <c r="K499" s="80"/>
      <c r="L499" s="80"/>
    </row>
    <row r="500" spans="1:12" x14ac:dyDescent="0.2">
      <c r="A500" s="9">
        <f t="shared" si="34"/>
        <v>319</v>
      </c>
      <c r="B500" s="2" t="str">
        <f t="shared" si="33"/>
        <v>Fr.</v>
      </c>
      <c r="C500" s="4">
        <f t="shared" si="35"/>
        <v>46220</v>
      </c>
      <c r="D500" s="43"/>
      <c r="E500" s="3"/>
      <c r="F500" s="2" t="s">
        <v>88</v>
      </c>
      <c r="G500" s="3" t="s">
        <v>53</v>
      </c>
      <c r="H500" s="21"/>
      <c r="I500" s="80"/>
      <c r="J500" s="80"/>
      <c r="K500" s="80"/>
      <c r="L500" s="80"/>
    </row>
    <row r="501" spans="1:12" x14ac:dyDescent="0.2">
      <c r="A501" s="9">
        <f t="shared" si="34"/>
        <v>320</v>
      </c>
      <c r="B501" s="2" t="str">
        <f t="shared" si="33"/>
        <v>Sa.</v>
      </c>
      <c r="C501" s="4">
        <f t="shared" si="35"/>
        <v>46221</v>
      </c>
      <c r="D501" s="43"/>
      <c r="E501" s="3"/>
      <c r="F501" s="2" t="s">
        <v>88</v>
      </c>
      <c r="G501" s="3" t="s">
        <v>53</v>
      </c>
      <c r="H501" s="21"/>
      <c r="I501" s="80"/>
      <c r="J501" s="80"/>
      <c r="K501" s="80"/>
      <c r="L501" s="80"/>
    </row>
    <row r="502" spans="1:12" x14ac:dyDescent="0.2">
      <c r="A502" s="9">
        <f t="shared" si="34"/>
        <v>321</v>
      </c>
      <c r="B502" s="2" t="str">
        <f t="shared" si="33"/>
        <v>So</v>
      </c>
      <c r="C502" s="4">
        <f t="shared" si="35"/>
        <v>46222</v>
      </c>
      <c r="D502" s="43"/>
      <c r="E502" s="3"/>
      <c r="F502" s="2" t="s">
        <v>88</v>
      </c>
      <c r="G502" s="3" t="s">
        <v>53</v>
      </c>
      <c r="H502" s="21"/>
      <c r="I502" s="80"/>
      <c r="J502" s="80"/>
      <c r="K502" s="80"/>
      <c r="L502" s="80"/>
    </row>
    <row r="503" spans="1:12" x14ac:dyDescent="0.2">
      <c r="A503" s="9">
        <f t="shared" si="34"/>
        <v>322</v>
      </c>
      <c r="B503" s="2" t="str">
        <f t="shared" si="33"/>
        <v>Mo</v>
      </c>
      <c r="C503" s="4">
        <f t="shared" si="35"/>
        <v>46223</v>
      </c>
      <c r="D503" s="43"/>
      <c r="E503" s="3"/>
      <c r="F503" s="2" t="s">
        <v>88</v>
      </c>
      <c r="G503" s="3" t="s">
        <v>53</v>
      </c>
      <c r="H503" s="21"/>
      <c r="I503" s="80"/>
      <c r="J503" s="80"/>
      <c r="K503" s="80"/>
      <c r="L503" s="80"/>
    </row>
    <row r="504" spans="1:12" x14ac:dyDescent="0.2">
      <c r="A504" s="9">
        <f t="shared" si="34"/>
        <v>323</v>
      </c>
      <c r="B504" s="2" t="str">
        <f t="shared" si="33"/>
        <v>Di</v>
      </c>
      <c r="C504" s="4">
        <f t="shared" si="35"/>
        <v>46224</v>
      </c>
      <c r="D504" s="43"/>
      <c r="E504" s="3"/>
      <c r="F504" s="2" t="s">
        <v>88</v>
      </c>
      <c r="G504" s="3" t="s">
        <v>53</v>
      </c>
      <c r="H504" s="21"/>
      <c r="I504" s="80"/>
      <c r="J504" s="80"/>
      <c r="K504" s="80"/>
      <c r="L504" s="80"/>
    </row>
    <row r="505" spans="1:12" x14ac:dyDescent="0.2">
      <c r="A505" s="9">
        <f t="shared" si="34"/>
        <v>324</v>
      </c>
      <c r="B505" s="2" t="str">
        <f t="shared" si="33"/>
        <v>Mi</v>
      </c>
      <c r="C505" s="4">
        <f t="shared" si="35"/>
        <v>46225</v>
      </c>
      <c r="D505" s="43"/>
      <c r="E505" s="3"/>
      <c r="F505" s="2" t="s">
        <v>88</v>
      </c>
      <c r="G505" s="3" t="s">
        <v>53</v>
      </c>
      <c r="H505" s="21"/>
      <c r="I505" s="80"/>
      <c r="J505" s="80"/>
      <c r="K505" s="80"/>
      <c r="L505" s="80"/>
    </row>
    <row r="506" spans="1:12" x14ac:dyDescent="0.2">
      <c r="A506" s="9">
        <f t="shared" si="34"/>
        <v>325</v>
      </c>
      <c r="B506" s="2" t="str">
        <f t="shared" si="33"/>
        <v>Do.</v>
      </c>
      <c r="C506" s="4">
        <f t="shared" si="35"/>
        <v>46226</v>
      </c>
      <c r="D506" s="43"/>
      <c r="E506" s="3"/>
      <c r="F506" s="2" t="s">
        <v>88</v>
      </c>
      <c r="G506" s="3" t="s">
        <v>53</v>
      </c>
      <c r="H506" s="21"/>
      <c r="I506" s="80"/>
      <c r="J506" s="80"/>
      <c r="K506" s="80"/>
      <c r="L506" s="80"/>
    </row>
    <row r="507" spans="1:12" x14ac:dyDescent="0.2">
      <c r="A507" s="9">
        <f t="shared" si="34"/>
        <v>326</v>
      </c>
      <c r="B507" s="2" t="str">
        <f t="shared" si="33"/>
        <v>Fr.</v>
      </c>
      <c r="C507" s="4">
        <f t="shared" si="35"/>
        <v>46227</v>
      </c>
      <c r="D507" s="43"/>
      <c r="E507" s="3"/>
      <c r="F507" s="2" t="s">
        <v>88</v>
      </c>
      <c r="G507" s="3" t="s">
        <v>53</v>
      </c>
      <c r="H507" s="21"/>
      <c r="I507" s="80"/>
      <c r="J507" s="80"/>
      <c r="K507" s="80"/>
      <c r="L507" s="80"/>
    </row>
    <row r="508" spans="1:12" x14ac:dyDescent="0.2">
      <c r="A508" s="9">
        <f t="shared" si="34"/>
        <v>327</v>
      </c>
      <c r="B508" s="2" t="str">
        <f t="shared" si="33"/>
        <v>Sa.</v>
      </c>
      <c r="C508" s="4">
        <f t="shared" si="35"/>
        <v>46228</v>
      </c>
      <c r="D508" s="43"/>
      <c r="E508" s="3"/>
      <c r="F508" s="2" t="s">
        <v>88</v>
      </c>
      <c r="G508" s="3" t="s">
        <v>53</v>
      </c>
      <c r="H508" s="21"/>
      <c r="I508" s="80"/>
      <c r="J508" s="80"/>
      <c r="K508" s="80"/>
      <c r="L508" s="80"/>
    </row>
    <row r="509" spans="1:12" x14ac:dyDescent="0.2">
      <c r="A509" s="9">
        <f t="shared" si="34"/>
        <v>328</v>
      </c>
      <c r="B509" s="2" t="str">
        <f t="shared" si="33"/>
        <v>So</v>
      </c>
      <c r="C509" s="4">
        <f t="shared" si="35"/>
        <v>46229</v>
      </c>
      <c r="D509" s="43"/>
      <c r="E509" s="3"/>
      <c r="F509" s="2" t="s">
        <v>88</v>
      </c>
      <c r="G509" s="3" t="s">
        <v>53</v>
      </c>
      <c r="H509" s="21"/>
      <c r="I509" s="80"/>
      <c r="J509" s="80"/>
      <c r="K509" s="80"/>
      <c r="L509" s="80"/>
    </row>
    <row r="510" spans="1:12" x14ac:dyDescent="0.2">
      <c r="A510" s="9">
        <f t="shared" si="34"/>
        <v>329</v>
      </c>
      <c r="B510" s="2" t="str">
        <f t="shared" si="33"/>
        <v>Mo</v>
      </c>
      <c r="C510" s="4">
        <f t="shared" si="35"/>
        <v>46230</v>
      </c>
      <c r="D510" s="43"/>
      <c r="E510" s="3"/>
      <c r="F510" s="2" t="s">
        <v>88</v>
      </c>
      <c r="G510" s="3" t="s">
        <v>53</v>
      </c>
      <c r="H510" s="21"/>
      <c r="I510" s="80"/>
      <c r="J510" s="80"/>
      <c r="K510" s="80"/>
      <c r="L510" s="80"/>
    </row>
    <row r="511" spans="1:12" x14ac:dyDescent="0.2">
      <c r="A511" s="9">
        <f t="shared" si="34"/>
        <v>330</v>
      </c>
      <c r="B511" s="2" t="str">
        <f t="shared" si="33"/>
        <v>Di</v>
      </c>
      <c r="C511" s="4">
        <f t="shared" si="35"/>
        <v>46231</v>
      </c>
      <c r="D511" s="43"/>
      <c r="E511" s="3"/>
      <c r="F511" s="2" t="s">
        <v>88</v>
      </c>
      <c r="G511" s="3" t="s">
        <v>53</v>
      </c>
      <c r="H511" s="21"/>
      <c r="I511" s="80"/>
      <c r="J511" s="80"/>
      <c r="K511" s="80"/>
      <c r="L511" s="80"/>
    </row>
    <row r="512" spans="1:12" x14ac:dyDescent="0.2">
      <c r="A512" s="9">
        <f t="shared" si="34"/>
        <v>331</v>
      </c>
      <c r="B512" s="2" t="str">
        <f t="shared" si="33"/>
        <v>Mi</v>
      </c>
      <c r="C512" s="4">
        <f t="shared" si="35"/>
        <v>46232</v>
      </c>
      <c r="D512" s="43"/>
      <c r="E512" s="45"/>
      <c r="F512" s="2" t="s">
        <v>88</v>
      </c>
      <c r="G512" s="3" t="s">
        <v>53</v>
      </c>
      <c r="H512" s="21"/>
      <c r="I512" s="80"/>
      <c r="J512" s="80"/>
      <c r="K512" s="80"/>
      <c r="L512" s="80"/>
    </row>
    <row r="513" spans="1:27" x14ac:dyDescent="0.2">
      <c r="A513" s="9">
        <f t="shared" si="34"/>
        <v>332</v>
      </c>
      <c r="B513" s="2" t="str">
        <f t="shared" si="33"/>
        <v>Do.</v>
      </c>
      <c r="C513" s="4">
        <f t="shared" si="35"/>
        <v>46233</v>
      </c>
      <c r="D513" s="43"/>
      <c r="E513" s="45"/>
      <c r="F513" s="2" t="s">
        <v>88</v>
      </c>
      <c r="G513" s="3" t="s">
        <v>53</v>
      </c>
      <c r="H513" s="21"/>
      <c r="I513" s="80"/>
      <c r="J513" s="80"/>
      <c r="K513" s="80"/>
      <c r="L513" s="80"/>
    </row>
    <row r="514" spans="1:27" x14ac:dyDescent="0.2">
      <c r="A514" s="9">
        <f t="shared" si="34"/>
        <v>333</v>
      </c>
      <c r="B514" s="2" t="str">
        <f t="shared" si="33"/>
        <v>Fr.</v>
      </c>
      <c r="C514" s="4">
        <f t="shared" si="35"/>
        <v>46234</v>
      </c>
      <c r="D514" s="43"/>
      <c r="E514" s="3"/>
      <c r="F514" s="2" t="s">
        <v>88</v>
      </c>
      <c r="G514" s="3" t="s">
        <v>53</v>
      </c>
      <c r="H514" s="21"/>
      <c r="I514" s="80"/>
      <c r="J514" s="80"/>
      <c r="K514" s="80"/>
      <c r="L514" s="80"/>
    </row>
    <row r="515" spans="1:27" x14ac:dyDescent="0.2">
      <c r="A515" s="9">
        <f t="shared" si="34"/>
        <v>334</v>
      </c>
      <c r="B515" s="2" t="str">
        <f t="shared" si="33"/>
        <v>Sa.</v>
      </c>
      <c r="C515" s="4">
        <f t="shared" si="35"/>
        <v>46235</v>
      </c>
      <c r="D515" s="43"/>
      <c r="E515" s="3"/>
      <c r="F515" s="2" t="s">
        <v>88</v>
      </c>
      <c r="G515" s="3" t="s">
        <v>53</v>
      </c>
      <c r="H515" s="21"/>
      <c r="I515" s="80"/>
      <c r="J515" s="80"/>
      <c r="K515" s="80"/>
      <c r="L515" s="80"/>
    </row>
    <row r="516" spans="1:27" ht="15" thickBot="1" x14ac:dyDescent="0.25">
      <c r="A516" s="10">
        <f>A515+1</f>
        <v>335</v>
      </c>
      <c r="B516" s="11" t="str">
        <f t="shared" si="33"/>
        <v>So</v>
      </c>
      <c r="C516" s="12">
        <f t="shared" si="35"/>
        <v>46236</v>
      </c>
      <c r="D516" s="44"/>
      <c r="E516" s="13"/>
      <c r="F516" s="11" t="s">
        <v>88</v>
      </c>
      <c r="G516" s="13" t="s">
        <v>53</v>
      </c>
      <c r="H516" s="22"/>
      <c r="I516" s="80"/>
      <c r="J516" s="80"/>
      <c r="K516" s="80"/>
      <c r="L516" s="80"/>
      <c r="N516" s="47"/>
      <c r="O516" s="48" t="s">
        <v>109</v>
      </c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spans="1:27" x14ac:dyDescent="0.2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N517" s="46"/>
      <c r="O517" s="1" t="s">
        <v>104</v>
      </c>
    </row>
    <row r="518" spans="1:27" x14ac:dyDescent="0.2">
      <c r="A518" s="99" t="str">
        <f>Student_Name</f>
        <v>Dirnberger</v>
      </c>
      <c r="B518" s="99"/>
      <c r="C518" s="99"/>
      <c r="D518" s="99"/>
      <c r="E518" s="99"/>
      <c r="F518" s="99"/>
      <c r="G518" s="26"/>
      <c r="H518" s="27" t="str">
        <f>Ausbildungsbetrieb_Unternehmen</f>
        <v>Continental Automotiv Technologies GmbH</v>
      </c>
      <c r="I518" s="26"/>
      <c r="J518" s="26"/>
      <c r="K518" s="26"/>
      <c r="L518" s="26"/>
    </row>
    <row r="519" spans="1:27" x14ac:dyDescent="0.2">
      <c r="A519" s="28" t="s">
        <v>31</v>
      </c>
      <c r="B519" s="28"/>
      <c r="C519" s="28"/>
      <c r="D519" s="28"/>
      <c r="E519" s="28"/>
      <c r="F519" s="28"/>
      <c r="G519" s="28"/>
      <c r="H519" s="28" t="s">
        <v>32</v>
      </c>
      <c r="I519" s="28"/>
      <c r="J519" s="28"/>
      <c r="K519" s="28"/>
      <c r="L519" s="28"/>
    </row>
    <row r="520" spans="1:27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</row>
    <row r="521" spans="1:27" x14ac:dyDescent="0.2">
      <c r="A521" s="99" t="str">
        <f>Student_Vorname</f>
        <v>Hubert</v>
      </c>
      <c r="B521" s="99"/>
      <c r="C521" s="99"/>
      <c r="D521" s="99"/>
      <c r="E521" s="99"/>
      <c r="F521" s="99"/>
      <c r="G521" s="26"/>
      <c r="H521" s="27" t="str">
        <f>CONCATENATE(Ausbildungsbetrieb_Vorname, " ", Ausbildungsbetrieb_Name)</f>
        <v>Christian Ruppel</v>
      </c>
      <c r="I521" s="26"/>
      <c r="J521" s="26"/>
      <c r="K521" s="26"/>
      <c r="L521" s="26"/>
    </row>
    <row r="522" spans="1:27" x14ac:dyDescent="0.2">
      <c r="A522" s="28" t="s">
        <v>34</v>
      </c>
      <c r="B522" s="28"/>
      <c r="C522" s="28"/>
      <c r="D522" s="28"/>
      <c r="E522" s="28"/>
      <c r="F522" s="28"/>
      <c r="G522" s="28"/>
      <c r="H522" s="28" t="s">
        <v>78</v>
      </c>
      <c r="I522" s="28"/>
      <c r="J522" s="28"/>
      <c r="K522" s="28"/>
      <c r="L522" s="28"/>
    </row>
    <row r="523" spans="1:27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</row>
    <row r="524" spans="1:27" x14ac:dyDescent="0.2">
      <c r="A524" s="99" t="str">
        <f>Student_Studiengruppe</f>
        <v>MB8</v>
      </c>
      <c r="B524" s="99"/>
      <c r="C524" s="99"/>
      <c r="D524" s="99"/>
      <c r="E524" s="99"/>
      <c r="F524" s="99"/>
      <c r="G524" s="26"/>
      <c r="H524" s="27" t="str">
        <f>Ausbildungsbetrieb_Email</f>
        <v>christian.ruppel@continental-corporaion.com</v>
      </c>
      <c r="I524" s="26"/>
      <c r="J524" s="26"/>
      <c r="K524" s="26"/>
      <c r="L524" s="26"/>
    </row>
    <row r="525" spans="1:27" x14ac:dyDescent="0.2">
      <c r="A525" s="28" t="s">
        <v>38</v>
      </c>
      <c r="B525" s="28"/>
      <c r="C525" s="28"/>
      <c r="D525" s="28"/>
      <c r="E525" s="28"/>
      <c r="F525" s="28"/>
      <c r="G525" s="28"/>
      <c r="H525" s="28" t="s">
        <v>79</v>
      </c>
      <c r="I525" s="28"/>
      <c r="J525" s="28"/>
      <c r="K525" s="28"/>
      <c r="L525" s="28"/>
    </row>
    <row r="526" spans="1:27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</row>
    <row r="527" spans="1:27" x14ac:dyDescent="0.2">
      <c r="A527" s="99">
        <f>Student_Matrikelnummer</f>
        <v>3315035</v>
      </c>
      <c r="B527" s="99"/>
      <c r="C527" s="99"/>
      <c r="D527" s="99"/>
      <c r="E527" s="99"/>
      <c r="F527" s="99"/>
      <c r="G527" s="26"/>
      <c r="H527" s="27" t="str">
        <f>Ausbildungsbetrieb_Telefon</f>
        <v>0499417903612</v>
      </c>
      <c r="I527" s="26"/>
      <c r="J527" s="26"/>
      <c r="K527" s="26"/>
      <c r="L527" s="26"/>
    </row>
    <row r="528" spans="1:27" x14ac:dyDescent="0.2">
      <c r="A528" s="28" t="s">
        <v>41</v>
      </c>
      <c r="B528" s="28"/>
      <c r="C528" s="28"/>
      <c r="D528" s="28"/>
      <c r="E528" s="28"/>
      <c r="F528" s="28"/>
      <c r="G528" s="28"/>
      <c r="H528" s="28" t="s">
        <v>80</v>
      </c>
      <c r="I528" s="28"/>
      <c r="J528" s="28"/>
      <c r="K528" s="28"/>
      <c r="L528" s="28"/>
    </row>
    <row r="529" spans="1:12" ht="15" thickBot="1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</row>
    <row r="530" spans="1:12" x14ac:dyDescent="0.2">
      <c r="A530" s="14"/>
      <c r="B530" s="15"/>
      <c r="C530" s="15"/>
      <c r="D530" s="15"/>
      <c r="E530" s="15" t="s">
        <v>81</v>
      </c>
      <c r="F530" s="15"/>
      <c r="G530" s="15"/>
      <c r="H530" s="16" t="s">
        <v>82</v>
      </c>
      <c r="I530" s="78"/>
      <c r="J530" s="78"/>
      <c r="K530" s="78"/>
      <c r="L530" s="78"/>
    </row>
    <row r="531" spans="1:12" ht="15" thickBot="1" x14ac:dyDescent="0.25">
      <c r="A531" s="104" t="s">
        <v>83</v>
      </c>
      <c r="B531" s="105"/>
      <c r="C531" s="17" t="s">
        <v>84</v>
      </c>
      <c r="D531" s="17"/>
      <c r="E531" s="103" t="s">
        <v>85</v>
      </c>
      <c r="F531" s="103"/>
      <c r="G531" s="18"/>
      <c r="H531" s="19" t="s">
        <v>86</v>
      </c>
      <c r="I531" s="78"/>
      <c r="J531" s="78"/>
      <c r="K531" s="78"/>
      <c r="L531" s="78"/>
    </row>
    <row r="532" spans="1:12" x14ac:dyDescent="0.2">
      <c r="A532" s="5">
        <f>A516+1</f>
        <v>336</v>
      </c>
      <c r="B532" s="6" t="str">
        <f>IF(WEEKDAY(C532,2)=1,"Mo",IF(WEEKDAY(C532,2)=2,"Di",IF(WEEKDAY(C532,2)=3,"Mi",IF(WEEKDAY(C532,2)=4,"Do.",IF(WEEKDAY(C532,2)=5,"Fr.",IF(WEEKDAY(C532,2)=6,"Sa.","So"))))))</f>
        <v>Mo</v>
      </c>
      <c r="C532" s="7">
        <f>C516+1</f>
        <v>46237</v>
      </c>
      <c r="D532" s="42"/>
      <c r="E532" s="8"/>
      <c r="F532" s="6" t="s">
        <v>88</v>
      </c>
      <c r="G532" s="8" t="s">
        <v>53</v>
      </c>
      <c r="H532" s="20"/>
      <c r="I532" s="80"/>
      <c r="J532" s="80"/>
      <c r="K532" s="80"/>
      <c r="L532" s="80"/>
    </row>
    <row r="533" spans="1:12" x14ac:dyDescent="0.2">
      <c r="A533" s="9">
        <f>A532+1</f>
        <v>337</v>
      </c>
      <c r="B533" s="2" t="str">
        <f t="shared" ref="B533:B559" si="36">IF(WEEKDAY(C533,2)=1,"Mo",IF(WEEKDAY(C533,2)=2,"Di",IF(WEEKDAY(C533,2)=3,"Mi",IF(WEEKDAY(C533,2)=4,"Do.",IF(WEEKDAY(C533,2)=5,"Fr.",IF(WEEKDAY(C533,2)=6,"Sa.","So"))))))</f>
        <v>Di</v>
      </c>
      <c r="C533" s="4">
        <f>C532+1</f>
        <v>46238</v>
      </c>
      <c r="D533" s="43"/>
      <c r="E533" s="3"/>
      <c r="F533" s="2" t="s">
        <v>88</v>
      </c>
      <c r="G533" s="3" t="s">
        <v>53</v>
      </c>
      <c r="H533" s="21"/>
      <c r="I533" s="80"/>
      <c r="J533" s="80"/>
      <c r="K533" s="80"/>
      <c r="L533" s="80"/>
    </row>
    <row r="534" spans="1:12" x14ac:dyDescent="0.2">
      <c r="A534" s="9">
        <f t="shared" ref="A534:A558" si="37">A533+1</f>
        <v>338</v>
      </c>
      <c r="B534" s="2" t="str">
        <f t="shared" si="36"/>
        <v>Mi</v>
      </c>
      <c r="C534" s="4">
        <f t="shared" ref="C534:C559" si="38">C533+1</f>
        <v>46239</v>
      </c>
      <c r="D534" s="43"/>
      <c r="E534" s="3"/>
      <c r="F534" s="2" t="s">
        <v>88</v>
      </c>
      <c r="G534" s="3" t="s">
        <v>53</v>
      </c>
      <c r="H534" s="21"/>
      <c r="I534" s="80"/>
      <c r="J534" s="80"/>
      <c r="K534" s="80"/>
      <c r="L534" s="80"/>
    </row>
    <row r="535" spans="1:12" x14ac:dyDescent="0.2">
      <c r="A535" s="9">
        <f t="shared" si="37"/>
        <v>339</v>
      </c>
      <c r="B535" s="2" t="str">
        <f t="shared" si="36"/>
        <v>Do.</v>
      </c>
      <c r="C535" s="4">
        <f t="shared" si="38"/>
        <v>46240</v>
      </c>
      <c r="D535" s="43"/>
      <c r="E535" s="3"/>
      <c r="F535" s="2" t="s">
        <v>88</v>
      </c>
      <c r="G535" s="3" t="s">
        <v>53</v>
      </c>
      <c r="H535" s="21"/>
      <c r="I535" s="80"/>
      <c r="J535" s="80"/>
      <c r="K535" s="80"/>
      <c r="L535" s="80"/>
    </row>
    <row r="536" spans="1:12" x14ac:dyDescent="0.2">
      <c r="A536" s="9">
        <f t="shared" si="37"/>
        <v>340</v>
      </c>
      <c r="B536" s="2" t="str">
        <f t="shared" si="36"/>
        <v>Fr.</v>
      </c>
      <c r="C536" s="4">
        <f t="shared" si="38"/>
        <v>46241</v>
      </c>
      <c r="D536" s="43"/>
      <c r="E536" s="3"/>
      <c r="F536" s="2" t="s">
        <v>88</v>
      </c>
      <c r="G536" s="3" t="s">
        <v>53</v>
      </c>
      <c r="H536" s="21"/>
      <c r="I536" s="80"/>
      <c r="J536" s="80"/>
      <c r="K536" s="80"/>
      <c r="L536" s="80"/>
    </row>
    <row r="537" spans="1:12" x14ac:dyDescent="0.2">
      <c r="A537" s="9">
        <f t="shared" si="37"/>
        <v>341</v>
      </c>
      <c r="B537" s="2" t="str">
        <f t="shared" si="36"/>
        <v>Sa.</v>
      </c>
      <c r="C537" s="4">
        <f t="shared" si="38"/>
        <v>46242</v>
      </c>
      <c r="D537" s="43"/>
      <c r="E537" s="3"/>
      <c r="F537" s="2" t="s">
        <v>88</v>
      </c>
      <c r="G537" s="3" t="s">
        <v>53</v>
      </c>
      <c r="H537" s="21"/>
      <c r="I537" s="80"/>
      <c r="J537" s="80"/>
      <c r="K537" s="80"/>
      <c r="L537" s="80"/>
    </row>
    <row r="538" spans="1:12" x14ac:dyDescent="0.2">
      <c r="A538" s="9">
        <f t="shared" si="37"/>
        <v>342</v>
      </c>
      <c r="B538" s="2" t="str">
        <f t="shared" si="36"/>
        <v>So</v>
      </c>
      <c r="C538" s="4">
        <f t="shared" si="38"/>
        <v>46243</v>
      </c>
      <c r="D538" s="43"/>
      <c r="E538" s="3"/>
      <c r="F538" s="2" t="s">
        <v>88</v>
      </c>
      <c r="G538" s="3" t="s">
        <v>53</v>
      </c>
      <c r="H538" s="21"/>
      <c r="I538" s="80"/>
      <c r="J538" s="80"/>
      <c r="K538" s="80"/>
      <c r="L538" s="80"/>
    </row>
    <row r="539" spans="1:12" x14ac:dyDescent="0.2">
      <c r="A539" s="9">
        <f t="shared" si="37"/>
        <v>343</v>
      </c>
      <c r="B539" s="2" t="str">
        <f t="shared" si="36"/>
        <v>Mo</v>
      </c>
      <c r="C539" s="4">
        <f t="shared" si="38"/>
        <v>46244</v>
      </c>
      <c r="D539" s="43"/>
      <c r="E539" s="3"/>
      <c r="F539" s="2" t="s">
        <v>88</v>
      </c>
      <c r="G539" s="3" t="s">
        <v>53</v>
      </c>
      <c r="H539" s="21"/>
      <c r="I539" s="80"/>
      <c r="J539" s="80"/>
      <c r="K539" s="80"/>
      <c r="L539" s="80"/>
    </row>
    <row r="540" spans="1:12" x14ac:dyDescent="0.2">
      <c r="A540" s="9">
        <f t="shared" si="37"/>
        <v>344</v>
      </c>
      <c r="B540" s="2" t="str">
        <f t="shared" si="36"/>
        <v>Di</v>
      </c>
      <c r="C540" s="4">
        <f t="shared" si="38"/>
        <v>46245</v>
      </c>
      <c r="D540" s="43"/>
      <c r="E540" s="3"/>
      <c r="F540" s="2" t="s">
        <v>88</v>
      </c>
      <c r="G540" s="3" t="s">
        <v>53</v>
      </c>
      <c r="H540" s="21"/>
      <c r="I540" s="80"/>
      <c r="J540" s="80"/>
      <c r="K540" s="80"/>
      <c r="L540" s="80"/>
    </row>
    <row r="541" spans="1:12" x14ac:dyDescent="0.2">
      <c r="A541" s="9">
        <f t="shared" si="37"/>
        <v>345</v>
      </c>
      <c r="B541" s="2" t="str">
        <f t="shared" si="36"/>
        <v>Mi</v>
      </c>
      <c r="C541" s="4">
        <f t="shared" si="38"/>
        <v>46246</v>
      </c>
      <c r="D541" s="43"/>
      <c r="E541" s="3"/>
      <c r="F541" s="2" t="s">
        <v>88</v>
      </c>
      <c r="G541" s="3" t="s">
        <v>53</v>
      </c>
      <c r="H541" s="21"/>
      <c r="I541" s="80"/>
      <c r="J541" s="80"/>
      <c r="K541" s="80"/>
      <c r="L541" s="80"/>
    </row>
    <row r="542" spans="1:12" x14ac:dyDescent="0.2">
      <c r="A542" s="9">
        <f t="shared" si="37"/>
        <v>346</v>
      </c>
      <c r="B542" s="2" t="str">
        <f t="shared" si="36"/>
        <v>Do.</v>
      </c>
      <c r="C542" s="4">
        <f t="shared" si="38"/>
        <v>46247</v>
      </c>
      <c r="D542" s="43"/>
      <c r="E542" s="3"/>
      <c r="F542" s="2" t="s">
        <v>88</v>
      </c>
      <c r="G542" s="3" t="s">
        <v>53</v>
      </c>
      <c r="H542" s="21"/>
      <c r="I542" s="80"/>
      <c r="J542" s="80"/>
      <c r="K542" s="80"/>
      <c r="L542" s="80"/>
    </row>
    <row r="543" spans="1:12" x14ac:dyDescent="0.2">
      <c r="A543" s="9">
        <f t="shared" si="37"/>
        <v>347</v>
      </c>
      <c r="B543" s="2" t="str">
        <f t="shared" si="36"/>
        <v>Fr.</v>
      </c>
      <c r="C543" s="4">
        <f t="shared" si="38"/>
        <v>46248</v>
      </c>
      <c r="D543" s="43"/>
      <c r="E543" s="3"/>
      <c r="F543" s="2" t="s">
        <v>88</v>
      </c>
      <c r="G543" s="3" t="s">
        <v>53</v>
      </c>
      <c r="H543" s="21"/>
      <c r="I543" s="80"/>
      <c r="J543" s="80"/>
      <c r="K543" s="80"/>
      <c r="L543" s="80"/>
    </row>
    <row r="544" spans="1:12" x14ac:dyDescent="0.2">
      <c r="A544" s="9">
        <f t="shared" si="37"/>
        <v>348</v>
      </c>
      <c r="B544" s="2" t="str">
        <f t="shared" si="36"/>
        <v>Sa.</v>
      </c>
      <c r="C544" s="4">
        <f t="shared" si="38"/>
        <v>46249</v>
      </c>
      <c r="D544" s="43"/>
      <c r="E544" s="3"/>
      <c r="F544" s="2" t="s">
        <v>88</v>
      </c>
      <c r="G544" s="3" t="s">
        <v>53</v>
      </c>
      <c r="H544" s="21"/>
      <c r="I544" s="80"/>
      <c r="J544" s="80"/>
      <c r="K544" s="80"/>
      <c r="L544" s="80"/>
    </row>
    <row r="545" spans="1:27" x14ac:dyDescent="0.2">
      <c r="A545" s="9">
        <f t="shared" si="37"/>
        <v>349</v>
      </c>
      <c r="B545" s="2" t="str">
        <f t="shared" si="36"/>
        <v>So</v>
      </c>
      <c r="C545" s="4">
        <f t="shared" si="38"/>
        <v>46250</v>
      </c>
      <c r="D545" s="43"/>
      <c r="E545" s="3"/>
      <c r="F545" s="2" t="s">
        <v>88</v>
      </c>
      <c r="G545" s="3" t="s">
        <v>53</v>
      </c>
      <c r="H545" s="21"/>
      <c r="I545" s="80"/>
      <c r="J545" s="80"/>
      <c r="K545" s="80"/>
      <c r="L545" s="80"/>
    </row>
    <row r="546" spans="1:27" x14ac:dyDescent="0.2">
      <c r="A546" s="9">
        <f t="shared" si="37"/>
        <v>350</v>
      </c>
      <c r="B546" s="2" t="str">
        <f t="shared" si="36"/>
        <v>Mo</v>
      </c>
      <c r="C546" s="4">
        <f t="shared" si="38"/>
        <v>46251</v>
      </c>
      <c r="D546" s="43"/>
      <c r="E546" s="3"/>
      <c r="F546" s="2" t="s">
        <v>88</v>
      </c>
      <c r="G546" s="3" t="s">
        <v>53</v>
      </c>
      <c r="H546" s="21"/>
      <c r="I546" s="80"/>
      <c r="J546" s="80"/>
      <c r="K546" s="80"/>
      <c r="L546" s="80"/>
    </row>
    <row r="547" spans="1:27" x14ac:dyDescent="0.2">
      <c r="A547" s="9">
        <f t="shared" si="37"/>
        <v>351</v>
      </c>
      <c r="B547" s="2" t="str">
        <f t="shared" si="36"/>
        <v>Di</v>
      </c>
      <c r="C547" s="4">
        <f t="shared" si="38"/>
        <v>46252</v>
      </c>
      <c r="D547" s="43"/>
      <c r="E547" s="3"/>
      <c r="F547" s="2" t="s">
        <v>88</v>
      </c>
      <c r="G547" s="3" t="s">
        <v>53</v>
      </c>
      <c r="H547" s="21"/>
      <c r="I547" s="80"/>
      <c r="J547" s="80"/>
      <c r="K547" s="80"/>
      <c r="L547" s="80"/>
    </row>
    <row r="548" spans="1:27" x14ac:dyDescent="0.2">
      <c r="A548" s="9">
        <f t="shared" si="37"/>
        <v>352</v>
      </c>
      <c r="B548" s="2" t="str">
        <f t="shared" si="36"/>
        <v>Mi</v>
      </c>
      <c r="C548" s="4">
        <f t="shared" si="38"/>
        <v>46253</v>
      </c>
      <c r="D548" s="43"/>
      <c r="E548" s="3"/>
      <c r="F548" s="2" t="s">
        <v>88</v>
      </c>
      <c r="G548" s="3" t="s">
        <v>53</v>
      </c>
      <c r="H548" s="21"/>
      <c r="I548" s="80"/>
      <c r="J548" s="80"/>
      <c r="K548" s="80"/>
      <c r="L548" s="80"/>
    </row>
    <row r="549" spans="1:27" x14ac:dyDescent="0.2">
      <c r="A549" s="9">
        <f t="shared" si="37"/>
        <v>353</v>
      </c>
      <c r="B549" s="2" t="str">
        <f t="shared" si="36"/>
        <v>Do.</v>
      </c>
      <c r="C549" s="4">
        <f t="shared" si="38"/>
        <v>46254</v>
      </c>
      <c r="D549" s="43"/>
      <c r="E549" s="3"/>
      <c r="F549" s="2" t="s">
        <v>88</v>
      </c>
      <c r="G549" s="3" t="s">
        <v>53</v>
      </c>
      <c r="H549" s="21"/>
      <c r="I549" s="80"/>
      <c r="J549" s="80"/>
      <c r="K549" s="80"/>
      <c r="L549" s="80"/>
    </row>
    <row r="550" spans="1:27" x14ac:dyDescent="0.2">
      <c r="A550" s="9">
        <f t="shared" si="37"/>
        <v>354</v>
      </c>
      <c r="B550" s="2" t="str">
        <f t="shared" si="36"/>
        <v>Fr.</v>
      </c>
      <c r="C550" s="4">
        <f t="shared" si="38"/>
        <v>46255</v>
      </c>
      <c r="D550" s="43"/>
      <c r="E550" s="3"/>
      <c r="F550" s="2" t="s">
        <v>88</v>
      </c>
      <c r="G550" s="3" t="s">
        <v>53</v>
      </c>
      <c r="H550" s="21"/>
      <c r="I550" s="80"/>
      <c r="J550" s="80"/>
      <c r="K550" s="80"/>
      <c r="L550" s="80"/>
    </row>
    <row r="551" spans="1:27" x14ac:dyDescent="0.2">
      <c r="A551" s="9">
        <f t="shared" si="37"/>
        <v>355</v>
      </c>
      <c r="B551" s="2" t="str">
        <f t="shared" si="36"/>
        <v>Sa.</v>
      </c>
      <c r="C551" s="4">
        <f t="shared" si="38"/>
        <v>46256</v>
      </c>
      <c r="D551" s="43"/>
      <c r="E551" s="3"/>
      <c r="F551" s="2" t="s">
        <v>88</v>
      </c>
      <c r="G551" s="3" t="s">
        <v>53</v>
      </c>
      <c r="H551" s="21"/>
      <c r="I551" s="80"/>
      <c r="J551" s="80"/>
      <c r="K551" s="80"/>
      <c r="L551" s="80"/>
    </row>
    <row r="552" spans="1:27" x14ac:dyDescent="0.2">
      <c r="A552" s="9">
        <f t="shared" si="37"/>
        <v>356</v>
      </c>
      <c r="B552" s="2" t="str">
        <f t="shared" si="36"/>
        <v>So</v>
      </c>
      <c r="C552" s="4">
        <f t="shared" si="38"/>
        <v>46257</v>
      </c>
      <c r="D552" s="43"/>
      <c r="E552" s="3"/>
      <c r="F552" s="2" t="s">
        <v>88</v>
      </c>
      <c r="G552" s="3" t="s">
        <v>53</v>
      </c>
      <c r="H552" s="21"/>
      <c r="I552" s="80"/>
      <c r="J552" s="80"/>
      <c r="K552" s="80"/>
      <c r="L552" s="80"/>
    </row>
    <row r="553" spans="1:27" x14ac:dyDescent="0.2">
      <c r="A553" s="9">
        <f t="shared" si="37"/>
        <v>357</v>
      </c>
      <c r="B553" s="2" t="str">
        <f t="shared" si="36"/>
        <v>Mo</v>
      </c>
      <c r="C553" s="4">
        <f t="shared" si="38"/>
        <v>46258</v>
      </c>
      <c r="D553" s="43"/>
      <c r="E553" s="3"/>
      <c r="F553" s="2" t="s">
        <v>88</v>
      </c>
      <c r="G553" s="3" t="s">
        <v>53</v>
      </c>
      <c r="H553" s="21"/>
      <c r="I553" s="80"/>
      <c r="J553" s="80"/>
      <c r="K553" s="80"/>
      <c r="L553" s="80"/>
    </row>
    <row r="554" spans="1:27" x14ac:dyDescent="0.2">
      <c r="A554" s="9">
        <f t="shared" si="37"/>
        <v>358</v>
      </c>
      <c r="B554" s="2" t="str">
        <f t="shared" si="36"/>
        <v>Di</v>
      </c>
      <c r="C554" s="4">
        <f t="shared" si="38"/>
        <v>46259</v>
      </c>
      <c r="D554" s="43"/>
      <c r="E554" s="3"/>
      <c r="F554" s="2" t="s">
        <v>88</v>
      </c>
      <c r="G554" s="3" t="s">
        <v>53</v>
      </c>
      <c r="H554" s="21"/>
      <c r="I554" s="80"/>
      <c r="J554" s="80"/>
      <c r="K554" s="80"/>
      <c r="L554" s="80"/>
    </row>
    <row r="555" spans="1:27" x14ac:dyDescent="0.2">
      <c r="A555" s="9">
        <f t="shared" si="37"/>
        <v>359</v>
      </c>
      <c r="B555" s="2" t="str">
        <f t="shared" si="36"/>
        <v>Mi</v>
      </c>
      <c r="C555" s="4">
        <f t="shared" si="38"/>
        <v>46260</v>
      </c>
      <c r="D555" s="43"/>
      <c r="E555" s="45"/>
      <c r="F555" s="2" t="s">
        <v>88</v>
      </c>
      <c r="G555" s="3" t="s">
        <v>53</v>
      </c>
      <c r="H555" s="21"/>
      <c r="I555" s="80"/>
      <c r="J555" s="80"/>
      <c r="K555" s="80"/>
      <c r="L555" s="80"/>
    </row>
    <row r="556" spans="1:27" x14ac:dyDescent="0.2">
      <c r="A556" s="9">
        <f t="shared" si="37"/>
        <v>360</v>
      </c>
      <c r="B556" s="2" t="str">
        <f t="shared" si="36"/>
        <v>Do.</v>
      </c>
      <c r="C556" s="4">
        <f t="shared" si="38"/>
        <v>46261</v>
      </c>
      <c r="D556" s="43"/>
      <c r="E556" s="45"/>
      <c r="F556" s="2" t="s">
        <v>88</v>
      </c>
      <c r="G556" s="3" t="s">
        <v>53</v>
      </c>
      <c r="H556" s="21"/>
      <c r="I556" s="80"/>
      <c r="J556" s="80"/>
      <c r="K556" s="80"/>
      <c r="L556" s="80"/>
    </row>
    <row r="557" spans="1:27" x14ac:dyDescent="0.2">
      <c r="A557" s="9">
        <f t="shared" si="37"/>
        <v>361</v>
      </c>
      <c r="B557" s="2" t="str">
        <f t="shared" si="36"/>
        <v>Fr.</v>
      </c>
      <c r="C557" s="4">
        <f t="shared" si="38"/>
        <v>46262</v>
      </c>
      <c r="D557" s="43"/>
      <c r="E557" s="3"/>
      <c r="F557" s="2" t="s">
        <v>88</v>
      </c>
      <c r="G557" s="3" t="s">
        <v>53</v>
      </c>
      <c r="H557" s="21"/>
      <c r="I557" s="80"/>
      <c r="J557" s="80"/>
      <c r="K557" s="80"/>
      <c r="L557" s="80"/>
    </row>
    <row r="558" spans="1:27" x14ac:dyDescent="0.2">
      <c r="A558" s="9">
        <f t="shared" si="37"/>
        <v>362</v>
      </c>
      <c r="B558" s="2" t="str">
        <f t="shared" si="36"/>
        <v>Sa.</v>
      </c>
      <c r="C558" s="4">
        <f t="shared" si="38"/>
        <v>46263</v>
      </c>
      <c r="D558" s="43"/>
      <c r="E558" s="3"/>
      <c r="F558" s="2" t="s">
        <v>88</v>
      </c>
      <c r="G558" s="3" t="s">
        <v>53</v>
      </c>
      <c r="H558" s="21"/>
      <c r="I558" s="80"/>
      <c r="J558" s="80"/>
      <c r="K558" s="80"/>
      <c r="L558" s="80"/>
    </row>
    <row r="559" spans="1:27" ht="15" thickBot="1" x14ac:dyDescent="0.25">
      <c r="A559" s="10">
        <f>A558+1</f>
        <v>363</v>
      </c>
      <c r="B559" s="11" t="str">
        <f t="shared" si="36"/>
        <v>So</v>
      </c>
      <c r="C559" s="12">
        <f t="shared" si="38"/>
        <v>46264</v>
      </c>
      <c r="D559" s="44"/>
      <c r="E559" s="13"/>
      <c r="F559" s="11" t="s">
        <v>88</v>
      </c>
      <c r="G559" s="13" t="s">
        <v>53</v>
      </c>
      <c r="H559" s="22"/>
      <c r="I559" s="80"/>
      <c r="J559" s="80"/>
      <c r="K559" s="80"/>
      <c r="L559" s="80"/>
      <c r="N559" s="47"/>
      <c r="O559" s="48" t="s">
        <v>109</v>
      </c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spans="1:27" x14ac:dyDescent="0.2">
      <c r="N560" s="46"/>
      <c r="O560" s="1" t="s">
        <v>104</v>
      </c>
    </row>
    <row r="1048576" spans="4:4" x14ac:dyDescent="0.2">
      <c r="D1048576" s="43"/>
    </row>
  </sheetData>
  <sheetProtection algorithmName="SHA-512" hashValue="0pLld3xGiYx68leeBk60B8xPVEUfXavTkLATUyCy8Lvz79HH6WBAO228/FcxbGPe+Rv7eRlUpMhKtX2lP+tCFw==" saltValue="hgkCgzkffXn2gUmLglYY2A==" spinCount="100000" sheet="1" objects="1" scenarios="1" formatCells="0" formatColumns="0" formatRows="0" insertColumns="0" insertRows="0" insertHyperlinks="0" deleteColumns="0" deleteRows="0" selectLockedCells="1" sort="0" autoFilter="0" pivotTables="0"/>
  <mergeCells count="78">
    <mergeCell ref="A518:F518"/>
    <mergeCell ref="A521:F521"/>
    <mergeCell ref="A524:F524"/>
    <mergeCell ref="A527:F527"/>
    <mergeCell ref="A531:B531"/>
    <mergeCell ref="E531:F531"/>
    <mergeCell ref="A475:F475"/>
    <mergeCell ref="A478:F478"/>
    <mergeCell ref="A481:F481"/>
    <mergeCell ref="A484:F484"/>
    <mergeCell ref="A488:B488"/>
    <mergeCell ref="E488:F488"/>
    <mergeCell ref="A432:F432"/>
    <mergeCell ref="A435:F435"/>
    <mergeCell ref="A438:F438"/>
    <mergeCell ref="A441:F441"/>
    <mergeCell ref="A445:B445"/>
    <mergeCell ref="E445:F445"/>
    <mergeCell ref="A389:F389"/>
    <mergeCell ref="A392:F392"/>
    <mergeCell ref="A395:F395"/>
    <mergeCell ref="A398:F398"/>
    <mergeCell ref="A402:B402"/>
    <mergeCell ref="E402:F402"/>
    <mergeCell ref="A346:F346"/>
    <mergeCell ref="A349:F349"/>
    <mergeCell ref="A352:F352"/>
    <mergeCell ref="A355:F355"/>
    <mergeCell ref="A359:B359"/>
    <mergeCell ref="E359:F359"/>
    <mergeCell ref="A303:F303"/>
    <mergeCell ref="A306:F306"/>
    <mergeCell ref="A309:F309"/>
    <mergeCell ref="A312:F312"/>
    <mergeCell ref="A316:B316"/>
    <mergeCell ref="E316:F316"/>
    <mergeCell ref="A260:F260"/>
    <mergeCell ref="A263:F263"/>
    <mergeCell ref="A266:F266"/>
    <mergeCell ref="A269:F269"/>
    <mergeCell ref="A273:B273"/>
    <mergeCell ref="E273:F273"/>
    <mergeCell ref="A15:B15"/>
    <mergeCell ref="E15:F15"/>
    <mergeCell ref="A2:F2"/>
    <mergeCell ref="A5:F5"/>
    <mergeCell ref="A8:F8"/>
    <mergeCell ref="A11:F11"/>
    <mergeCell ref="A101:B101"/>
    <mergeCell ref="E101:F101"/>
    <mergeCell ref="A144:B144"/>
    <mergeCell ref="E144:F144"/>
    <mergeCell ref="A91:F91"/>
    <mergeCell ref="A94:F94"/>
    <mergeCell ref="A97:F97"/>
    <mergeCell ref="A131:F131"/>
    <mergeCell ref="A134:F134"/>
    <mergeCell ref="A137:F137"/>
    <mergeCell ref="A140:F140"/>
    <mergeCell ref="A230:B230"/>
    <mergeCell ref="E230:F230"/>
    <mergeCell ref="A220:F220"/>
    <mergeCell ref="A223:F223"/>
    <mergeCell ref="A226:F226"/>
    <mergeCell ref="A45:F45"/>
    <mergeCell ref="A88:F88"/>
    <mergeCell ref="A54:F54"/>
    <mergeCell ref="A51:F51"/>
    <mergeCell ref="A48:F48"/>
    <mergeCell ref="A58:B58"/>
    <mergeCell ref="E58:F58"/>
    <mergeCell ref="A174:F174"/>
    <mergeCell ref="A177:F177"/>
    <mergeCell ref="A180:F180"/>
    <mergeCell ref="A183:F183"/>
    <mergeCell ref="A217:F217"/>
    <mergeCell ref="A187:B187"/>
    <mergeCell ref="E187:F187"/>
  </mergeCells>
  <dataValidations xWindow="334" yWindow="732" count="3">
    <dataValidation type="list" errorStyle="information" allowBlank="1" showInputMessage="1" showErrorMessage="1" errorTitle="Korrekte EIngabe beachten" error="Bitte geben Sie nur &quot;ja&quot; oder &quot;nein&quot; ein." promptTitle="begleitende Lehrveranstaltung" prompt="Bitte geben Sie hier &quot;ja&quot; an, wenn Sie an diesem Tag eine begleitende Lehrveranstaltung besucht haben. Alle anderen Lehrveranstaltungen sind hier nicht zu berücksichtigen." sqref="G231:G258 G188:G215 G145:G172 G102:G129 G59:G86 G16:G43 G274:G301 G317:G344 G360:G387 G403:G430 G446:G473 G489:G516 G532:G559" xr:uid="{FEF60E8A-1AC3-4BAC-9C36-49E5A482112C}">
      <formula1>"ja, nein"</formula1>
    </dataValidation>
    <dataValidation type="decimal" allowBlank="1" showInputMessage="1" showErrorMessage="1" errorTitle="Eingabe beachten" error="Bitte beachten Sie das vorgegebene Eingabeformat_x000a_" promptTitle="Eingabe Arbeitszeit" prompt="Geben Sie bitte als Dezimalzahl ihre Arbeitszeit (Anwesenheitszeit) am genannten Tag ein. 7 Stunden und 30 Minuten &gt;&gt; 7,5 ._x000a_Sie können die Anwesenheitszeit auf die Viertelstunde aufrunden." sqref="E231:E258 E188:E215 E145:E172 E102:E129 E59:E86 E16:E43 E274:E301 E317:E344 E360:E387 E403:E430 E446:E473 E489:E516 E532:E559" xr:uid="{37E2574A-A336-4924-B051-3C2F50C1BE7E}">
      <formula1>0</formula1>
      <formula2>24</formula2>
    </dataValidation>
    <dataValidation type="list" errorStyle="information" allowBlank="1" showInputMessage="1" showErrorMessage="1" sqref="M16:M43 M59:M60" xr:uid="{1F67D1DF-7F95-43A0-9A03-DBE47828BF39}">
      <formula1>" 001 - Beschreibung nicht ausreichend, 002 - Stundenangabe nicht plausibel, 003 - keine Vorlesung angeboten, 004 - keine Vorlesung angeboten, 005 - Abwesenheit, 006 - keine relevante Tätigkeit, 999 - Sonstiges"</formula1>
    </dataValidation>
  </dataValidations>
  <pageMargins left="0.70866141732283472" right="0.70866141732283472" top="1.1811023622047245" bottom="1.1811023622047245" header="0.27559055118110237" footer="0.27559055118110237"/>
  <pageSetup paperSize="9" scale="76" orientation="portrait" horizontalDpi="300" r:id="rId1"/>
  <headerFooter>
    <oddHeader>&amp;L
&amp;C&amp;"-,Fett"Tätigkeitsbericht 
Pflichtpraktikum&amp;R
&amp;D
&amp;P von &amp;N</oddHeader>
    <oddFooter>&amp;L
&amp;"Arial,Standard"Bestätigung des Ausbildungsbetriebes: 
&amp;"-,Standard"
_________________        _________________________________
Datum                                   Unterschrift und Firmenstempel&amp;C_x000D_&amp;1#&amp;"Arial"&amp;8&amp;K000000 Internal</oddFooter>
  </headerFooter>
  <rowBreaks count="12" manualBreakCount="12">
    <brk id="43" max="8" man="1"/>
    <brk id="86" max="8" man="1"/>
    <brk id="129" max="8" man="1"/>
    <brk id="172" max="8" man="1"/>
    <brk id="215" max="8" man="1"/>
    <brk id="258" max="8" man="1"/>
    <brk id="301" max="8" man="1"/>
    <brk id="344" max="8" man="1"/>
    <brk id="387" max="8" man="1"/>
    <brk id="430" max="8" man="1"/>
    <brk id="473" max="8" man="1"/>
    <brk id="516" max="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xWindow="334" yWindow="732" count="3">
        <x14:dataValidation type="list" allowBlank="1" showInputMessage="1" showErrorMessage="1" prompt="A - Anwesend_x000a_K - Krank (Abwesend)_x000a_U - Urlaub (Abwesend)_x000a_G - Gleitzeit (Abwesend)_x000a_K - Kurzarbeit (Abwesend)_x000a_B - Betriebsschließung (Abwesend)_x000a_V - Vorlesung und keine Anwesenheit im Betrieb_x000a_VA - Vorlesung und Anwesend im Betrieb_x000a_F Feiertag_x000a_" xr:uid="{79A63D81-3D4A-417C-88BB-99BE3DF3787F}">
          <x14:formula1>
            <xm:f>Status!$A$1:$A$12</xm:f>
          </x14:formula1>
          <xm:sqref>D231:D258 D59:D86 D102:D129 D145:D172 D188:D215 D532:D559 D274:D301 D317:D344 D360:D387 D403:D430 D446:D473 D489:D516 D18:D42</xm:sqref>
        </x14:dataValidation>
        <x14:dataValidation type="list" allowBlank="1" showInputMessage="1" showErrorMessage="1" prompt="A - Anwesend_x000a_K - Krank (Abwesend)_x000a_U - Urlaub (Abwesend)_x000a_G - Gleitzeit (Abwesend)_x000a_Ku - Kurzarbeit (Abwesend)_x000a_B - Betriebsschließung (Abwesend)_x000a_V - Vorlesung und keine Anwesenheit im Betrieb_x000a_VA - Vorlesung und Anwesend im Betrieb_x000a_F Feiertag_x000a_" xr:uid="{D7DDB5F1-0F1B-4498-8EC9-935235ABD5A0}">
          <x14:formula1>
            <xm:f>Status!$A$1:$A$12</xm:f>
          </x14:formula1>
          <xm:sqref>D16:D17</xm:sqref>
        </x14:dataValidation>
        <x14:dataValidation type="list" allowBlank="1" showInputMessage="1" showErrorMessage="1" prompt="A - Anwesend_x000a_K - Krank (Abwesend)_x000a_U - Urlaub (Abwesend)_x000a_G - Gleitzeit (Abwesend)_x000a_Ku_x000a_ - Kurzarbeit (Abwesend)_x000a_B - Betriebsschließung (Abwesend)_x000a_V - Vorlesung und keine Anwesenheit im Betrieb_x000a_VA - Vorlesung und Anwesend im Betrieb_x000a_F Feiertag_x000a_" xr:uid="{2134F655-29C3-4798-BAE7-8F17812A5AD5}">
          <x14:formula1>
            <xm:f>Status!$A$1:$A$12</xm:f>
          </x14:formula1>
          <xm:sqref>D43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B036-7D6B-4756-B7AD-67442C82613E}">
  <sheetPr codeName="Tabelle2"/>
  <dimension ref="A1:G19"/>
  <sheetViews>
    <sheetView topLeftCell="F1" workbookViewId="0">
      <selection activeCell="G34" sqref="G34"/>
    </sheetView>
  </sheetViews>
  <sheetFormatPr baseColWidth="10" defaultColWidth="11.42578125" defaultRowHeight="15" x14ac:dyDescent="0.25"/>
  <cols>
    <col min="2" max="2" width="52.140625" customWidth="1"/>
    <col min="5" max="5" width="40.7109375" customWidth="1"/>
    <col min="7" max="7" width="90" customWidth="1"/>
  </cols>
  <sheetData>
    <row r="1" spans="1:7" x14ac:dyDescent="0.25">
      <c r="A1" t="s">
        <v>87</v>
      </c>
      <c r="B1" t="s">
        <v>110</v>
      </c>
      <c r="E1" t="s">
        <v>111</v>
      </c>
      <c r="G1" t="s">
        <v>112</v>
      </c>
    </row>
    <row r="2" spans="1:7" x14ac:dyDescent="0.25">
      <c r="A2" t="s">
        <v>113</v>
      </c>
      <c r="B2" t="s">
        <v>114</v>
      </c>
      <c r="E2" t="s">
        <v>115</v>
      </c>
      <c r="G2" t="s">
        <v>116</v>
      </c>
    </row>
    <row r="3" spans="1:7" x14ac:dyDescent="0.25">
      <c r="A3" t="s">
        <v>117</v>
      </c>
      <c r="B3" t="s">
        <v>118</v>
      </c>
      <c r="E3" t="s">
        <v>119</v>
      </c>
      <c r="G3" s="86" t="s">
        <v>67</v>
      </c>
    </row>
    <row r="4" spans="1:7" x14ac:dyDescent="0.25">
      <c r="A4" t="s">
        <v>120</v>
      </c>
      <c r="B4" t="s">
        <v>121</v>
      </c>
      <c r="E4" t="s">
        <v>122</v>
      </c>
      <c r="G4" t="s">
        <v>123</v>
      </c>
    </row>
    <row r="5" spans="1:7" x14ac:dyDescent="0.25">
      <c r="A5" t="s">
        <v>124</v>
      </c>
      <c r="B5" t="s">
        <v>125</v>
      </c>
      <c r="E5" t="s">
        <v>126</v>
      </c>
      <c r="G5" t="s">
        <v>72</v>
      </c>
    </row>
    <row r="6" spans="1:7" x14ac:dyDescent="0.25">
      <c r="A6" t="s">
        <v>127</v>
      </c>
      <c r="B6" t="s">
        <v>128</v>
      </c>
      <c r="E6" t="s">
        <v>129</v>
      </c>
      <c r="G6" t="s">
        <v>130</v>
      </c>
    </row>
    <row r="7" spans="1:7" x14ac:dyDescent="0.25">
      <c r="A7" t="s">
        <v>131</v>
      </c>
      <c r="B7" t="s">
        <v>132</v>
      </c>
      <c r="E7" t="s">
        <v>133</v>
      </c>
      <c r="G7" t="s">
        <v>134</v>
      </c>
    </row>
    <row r="8" spans="1:7" x14ac:dyDescent="0.25">
      <c r="A8" t="s">
        <v>135</v>
      </c>
      <c r="B8" t="s">
        <v>136</v>
      </c>
      <c r="E8" t="s">
        <v>137</v>
      </c>
      <c r="G8" t="s">
        <v>138</v>
      </c>
    </row>
    <row r="9" spans="1:7" x14ac:dyDescent="0.25">
      <c r="A9" t="s">
        <v>139</v>
      </c>
      <c r="B9" t="s">
        <v>140</v>
      </c>
      <c r="E9" t="s">
        <v>141</v>
      </c>
      <c r="G9" t="s">
        <v>142</v>
      </c>
    </row>
    <row r="10" spans="1:7" x14ac:dyDescent="0.25">
      <c r="E10" t="s">
        <v>68</v>
      </c>
      <c r="G10" t="s">
        <v>143</v>
      </c>
    </row>
    <row r="11" spans="1:7" x14ac:dyDescent="0.25">
      <c r="E11" t="s">
        <v>144</v>
      </c>
      <c r="G11" t="s">
        <v>145</v>
      </c>
    </row>
    <row r="12" spans="1:7" x14ac:dyDescent="0.25">
      <c r="E12" t="s">
        <v>146</v>
      </c>
      <c r="G12" t="s">
        <v>147</v>
      </c>
    </row>
    <row r="13" spans="1:7" x14ac:dyDescent="0.25">
      <c r="E13" t="s">
        <v>148</v>
      </c>
      <c r="G13" t="s">
        <v>149</v>
      </c>
    </row>
    <row r="14" spans="1:7" x14ac:dyDescent="0.25">
      <c r="E14" t="s">
        <v>150</v>
      </c>
      <c r="G14" t="s">
        <v>151</v>
      </c>
    </row>
    <row r="15" spans="1:7" x14ac:dyDescent="0.25">
      <c r="E15" t="s">
        <v>152</v>
      </c>
    </row>
    <row r="16" spans="1:7" x14ac:dyDescent="0.25">
      <c r="E16" t="s">
        <v>153</v>
      </c>
    </row>
    <row r="17" spans="5:5" x14ac:dyDescent="0.25">
      <c r="E17" t="s">
        <v>154</v>
      </c>
    </row>
    <row r="18" spans="5:5" x14ac:dyDescent="0.25">
      <c r="E18" t="s">
        <v>155</v>
      </c>
    </row>
    <row r="19" spans="5:5" x14ac:dyDescent="0.25">
      <c r="E19" t="s">
        <v>156</v>
      </c>
    </row>
  </sheetData>
  <sheetProtection algorithmName="SHA-512" hashValue="dcAS8GIcfNG1vDa8N4RNWClXSWM2s/ue0FnYXFHrbp2EJVHOjzYfudQ0fcFERv8oFFrbBzhOBW3nFnfYIgU8bQ==" saltValue="W+m6xNJ4DXskuKbGFfdVX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8740157499999996" bottom="0.78740157499999996" header="0.3" footer="0.3"/>
  <headerFooter>
    <oddFooter>&amp;C_x000D_&amp;1#&amp;"Arial"&amp;8&amp;K000000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a6f53f-602d-40e5-8092-6dc396fcc456">
      <Terms xmlns="http://schemas.microsoft.com/office/infopath/2007/PartnerControls"/>
    </lcf76f155ced4ddcb4097134ff3c332f>
    <TaxCatchAll xmlns="527b97fa-852b-4d74-9502-6cc2c8c6fe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753C33B95947479B5DFBFD9DCF0642" ma:contentTypeVersion="16" ma:contentTypeDescription="Create a new document." ma:contentTypeScope="" ma:versionID="35b961d24d3ac8a7845653f01501a572">
  <xsd:schema xmlns:xsd="http://www.w3.org/2001/XMLSchema" xmlns:xs="http://www.w3.org/2001/XMLSchema" xmlns:p="http://schemas.microsoft.com/office/2006/metadata/properties" xmlns:ns2="91a6f53f-602d-40e5-8092-6dc396fcc456" xmlns:ns3="527b97fa-852b-4d74-9502-6cc2c8c6fe7f" targetNamespace="http://schemas.microsoft.com/office/2006/metadata/properties" ma:root="true" ma:fieldsID="52d6bdfcce3e7763bfb3ec46f3f58cdb" ns2:_="" ns3:_="">
    <xsd:import namespace="91a6f53f-602d-40e5-8092-6dc396fcc456"/>
    <xsd:import namespace="527b97fa-852b-4d74-9502-6cc2c8c6f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6f53f-602d-40e5-8092-6dc396fcc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eda2b84-7b9c-4109-bb73-211c9f8484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b97fa-852b-4d74-9502-6cc2c8c6f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659e55-f8ee-47cf-bd6e-222ed8435d5e}" ma:internalName="TaxCatchAll" ma:showField="CatchAllData" ma:web="527b97fa-852b-4d74-9502-6cc2c8c6f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6136C-1DE3-42F8-A098-F346E95069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AFDE5D-918A-4C66-A246-A5AD5F18BB1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527b97fa-852b-4d74-9502-6cc2c8c6fe7f"/>
    <ds:schemaRef ds:uri="91a6f53f-602d-40e5-8092-6dc396fcc45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869283-9495-43E1-85E7-B53669CB56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6f53f-602d-40e5-8092-6dc396fcc456"/>
    <ds:schemaRef ds:uri="527b97fa-852b-4d74-9502-6cc2c8c6f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bd97919-57c3-48d3-9e9a-8e4c01614a8f}" enabled="0" method="" siteId="{3bd97919-57c3-48d3-9e9a-8e4c01614a8f}" removed="1"/>
  <clbl:label id="{6006a9c5-d130-408c-bc8e-3b5ecdb17aa0}" enabled="1" method="Standard" siteId="{8d4b558f-7b2e-40ba-ad1f-e04d79e626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29</vt:i4>
      </vt:variant>
    </vt:vector>
  </HeadingPairs>
  <TitlesOfParts>
    <vt:vector size="33" baseType="lpstr">
      <vt:lpstr>Anleitung</vt:lpstr>
      <vt:lpstr>Stammdaten</vt:lpstr>
      <vt:lpstr>Tätigkeitsnachweis</vt:lpstr>
      <vt:lpstr>Status</vt:lpstr>
      <vt:lpstr>Ausbildungsbetrieb_Anrede</vt:lpstr>
      <vt:lpstr>Ausbildungsbetrieb_Arbeitszeit</vt:lpstr>
      <vt:lpstr>Ausbildungsbetrieb_Email</vt:lpstr>
      <vt:lpstr>Ausbildungsbetrieb_Land</vt:lpstr>
      <vt:lpstr>Ausbildungsbetrieb_Name</vt:lpstr>
      <vt:lpstr>Ausbildungsbetrieb_Nummer</vt:lpstr>
      <vt:lpstr>Ausbildungsbetrieb_Ort</vt:lpstr>
      <vt:lpstr>Ausbildungsbetrieb_PLZ</vt:lpstr>
      <vt:lpstr>Ausbildungsbetrieb_Position</vt:lpstr>
      <vt:lpstr>Ausbildungsbetrieb_Strasse</vt:lpstr>
      <vt:lpstr>Ausbildungsbetrieb_Telefon</vt:lpstr>
      <vt:lpstr>Ausbildungsbetrieb_Unternehmen</vt:lpstr>
      <vt:lpstr>Ausbildungsbetrieb_Vorname</vt:lpstr>
      <vt:lpstr>Branche</vt:lpstr>
      <vt:lpstr>Tätigkeitsnachweis!Druckbereich</vt:lpstr>
      <vt:lpstr>Enddatum</vt:lpstr>
      <vt:lpstr>Startdatum</vt:lpstr>
      <vt:lpstr>Student_Anrede</vt:lpstr>
      <vt:lpstr>Student_Email</vt:lpstr>
      <vt:lpstr>Student_Matrikelnummer</vt:lpstr>
      <vt:lpstr>Student_Name</vt:lpstr>
      <vt:lpstr>Student_Studiengruppe</vt:lpstr>
      <vt:lpstr>Student_Vorname</vt:lpstr>
      <vt:lpstr>Taetigkeitsbereich1</vt:lpstr>
      <vt:lpstr>Taetigkeitsbereich2</vt:lpstr>
      <vt:lpstr>Taetigkeitsbereich3</vt:lpstr>
      <vt:lpstr>Taetigkeitsbereich4</vt:lpstr>
      <vt:lpstr>Taetigkeitsbereich5</vt:lpstr>
      <vt:lpstr>Vorlesung_begleitend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Tätigkeitsnachweis Industriepraktikum</dc:title>
  <dc:subject>Tätigkeitsnachweis Industriepraktikum</dc:subject>
  <dc:creator>Stefan Galka</dc:creator>
  <cp:keywords/>
  <dc:description/>
  <cp:lastModifiedBy>Graef, Bjoern</cp:lastModifiedBy>
  <cp:revision/>
  <dcterms:created xsi:type="dcterms:W3CDTF">2020-10-13T12:59:14Z</dcterms:created>
  <dcterms:modified xsi:type="dcterms:W3CDTF">2026-02-16T13:54:58Z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0x010100A6753C33B95947479B5DFBFD9DCF0642</vt:lpwstr>
  </property>
  <property fmtid="{D5CDD505-2E9C-101B-9397-08002B2CF9AE}" pid="3" name="MediaServiceImageTags">
    <vt:lpwstr/>
  </property>
</Properties>
</file>